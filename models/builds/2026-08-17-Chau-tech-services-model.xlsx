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e68779d68340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986e8c040e3a4355"/>
    <x:sheet xmlns:r="http://schemas.openxmlformats.org/officeDocument/2006/relationships" name="Inputs" sheetId="2" r:id="R40434a12e0d04de4"/>
    <x:sheet xmlns:r="http://schemas.openxmlformats.org/officeDocument/2006/relationships" name="Hedge Model" sheetId="3" r:id="R2b06d30fd25a4108"/>
    <x:sheet xmlns:r="http://schemas.openxmlformats.org/officeDocument/2006/relationships" name="Sensitivity" sheetId="4" r:id="R2bf5e7f7d1c447f5"/>
    <x:sheet xmlns:r="http://schemas.openxmlformats.org/officeDocument/2006/relationships" name="Notes" sheetId="5" r:id="Raac50eaf9f2b47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;[Red](#,##0);-"/>
    <x:numFmt numFmtId="201" formatCode="0.0000"/>
    <x:numFmt numFmtId="202" formatCode="0.00%"/>
    <x:numFmt numFmtId="203" formatCode="0.0%"/>
    <x:numFmt numFmtId="204" formatCode="$#,##0;[Red]($#,##0);-"/>
    <x:numFmt numFmtId="205" formatCode="0.000%"/>
    <x:numFmt numFmtId="206" formatCode="0%"/>
  </x:numFmts>
  <x:fonts count="14">
    <x:font>
      <x:sz val="11"/>
      <x:name val="Carlito"/>
    </x:font>
    <x:font>
      <x:b/>
      <x:sz val="16"/>
      <x:color rgb="FFFFFFFF"/>
      <x:name val="Carlito"/>
    </x:font>
    <x:font>
      <x:b/>
      <x:sz val="14"/>
      <x:color rgb="FF024731"/>
      <x:name val="Carlito"/>
    </x:font>
    <x:font>
      <x:b/>
      <x:sz val="11"/>
      <x:name val="Carlito"/>
    </x:font>
    <x:font>
      <x:b/>
      <x:sz val="12"/>
      <x:color rgb="FFFFFFFF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6"/>
      <x:color rgb="FFFFFFFF"/>
      <x:name val="Open Sans"/>
    </x:font>
    <x:font>
      <x:sz val="11"/>
      <x:name val="Open Sans"/>
    </x:font>
    <x:font>
      <x:b/>
      <x:sz val="14"/>
      <x:color rgb="FF024731"/>
      <x:name val="Open Sans"/>
    </x:font>
    <x:font>
      <x:b/>
      <x:sz val="11"/>
      <x:name val="Open Sans"/>
    </x:font>
    <x:font>
      <x:b/>
      <x:sz val="12"/>
      <x:color rgb="FFFFFFFF"/>
      <x:name val="Open Sans"/>
    </x:font>
    <x:font>
      <x:b/>
      <x:sz val="11"/>
      <x:color rgb="FFFFFFFF"/>
      <x:name val="Open Sans"/>
    </x:font>
    <x:font>
      <x:sz val="11"/>
      <x:color rgb="FF0000FF"/>
      <x:name val="Open Sans"/>
    </x:font>
  </x:fonts>
  <x:fills count="5">
    <x:fill>
      <x:patternFill patternType="none"/>
    </x:fill>
    <x:fill>
      <x:patternFill patternType="gray125"/>
    </x:fill>
    <x:fill>
      <x:patternFill patternType="solid">
        <x:fgColor rgb="FF024731"/>
      </x:patternFill>
    </x:fill>
    <x:fill>
      <x:patternFill patternType="solid">
        <x:fgColor rgb="FFFFFF00"/>
      </x:patternFill>
    </x:fill>
    <x:fill>
      <x:patternFill patternType="solid">
        <x:fgColor rgb="FFE6F2EF"/>
      </x:patternFill>
    </x:fill>
  </x:fills>
  <x:borders count="2">
    <x:border/>
    <x:border/>
  </x:borders>
  <x:cellStyleXfs count="1">
    <x:xf numFmtId="0" fontId="0" fillId="0" borderId="0"/>
  </x:cellStyleXfs>
  <x:cellXfs count="8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200" fontId="6" fillId="3" borderId="0" xfId="0" applyNumberFormat="1" applyFont="1" applyFill="1" applyBorder="1"/>
    <x:xf numFmtId="200" fontId="6" fillId="3" borderId="1" xfId="0" applyNumberFormat="1" applyFont="1" applyFill="1" applyBorder="1"/>
    <x:xf numFmtId="201" fontId="6" fillId="3" borderId="0" xfId="0" applyNumberFormat="1" applyFont="1" applyFill="1" applyBorder="1"/>
    <x:xf numFmtId="201" fontId="6" fillId="3" borderId="1" xfId="0" applyNumberFormat="1" applyFont="1" applyFill="1" applyBorder="1"/>
    <x:xf numFmtId="202" fontId="6" fillId="3" borderId="0" xfId="0" applyNumberFormat="1" applyFont="1" applyFill="1" applyBorder="1"/>
    <x:xf numFmtId="202" fontId="6" fillId="3" borderId="1" xfId="0" applyNumberFormat="1" applyFont="1" applyFill="1" applyBorder="1"/>
    <x:xf numFmtId="203" fontId="6" fillId="3" borderId="0" xfId="0" applyNumberFormat="1" applyFont="1" applyFill="1" applyBorder="1"/>
    <x:xf numFmtId="203" fontId="6" fillId="3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206" fontId="0" fillId="4" borderId="0" xfId="0" applyNumberFormat="1" applyFont="1" applyFill="1" applyBorder="1"/>
    <x:xf numFmtId="201" fontId="0" fillId="4" borderId="0" xfId="0" applyNumberFormat="1" applyFont="1" applyFill="1" applyBorder="1"/>
    <x:xf numFmtId="204" fontId="0" fillId="4" borderId="0" xfId="0" applyNumberFormat="1" applyFont="1" applyFill="1" applyBorder="1"/>
    <x:xf numFmtId="206" fontId="0" fillId="4" borderId="1" xfId="0" applyNumberFormat="1" applyFont="1" applyFill="1" applyBorder="1"/>
    <x:xf numFmtId="201" fontId="0" fillId="4" borderId="1" xfId="0" applyNumberFormat="1" applyFont="1" applyFill="1" applyBorder="1"/>
    <x:xf numFmtId="204" fontId="0" fillId="4" borderId="1" xfId="0" applyNumberFormat="1" applyFont="1" applyFill="1" applyBorder="1"/>
    <x:xf numFmtId="0" fontId="7" fillId="2" borderId="0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/>
    <x:xf numFmtId="0" fontId="9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wrapText="1"/>
    </x:xf>
    <x:xf numFmtId="0" fontId="7" fillId="2" borderId="1" xfId="0" applyNumberFormat="1" applyFont="1" applyFill="1" applyBorder="1" applyAlignment="1">
      <x:alignment horizontal="center" vertical="center"/>
    </x:xf>
    <x:xf numFmtId="0" fontId="8" fillId="0" borderId="1" xfId="0" applyNumberFormat="1" applyFont="1" applyFill="1" applyBorder="1"/>
    <x:xf numFmtId="0" fontId="9" fillId="0" borderId="1" xfId="0" applyNumberFormat="1" applyFont="1" applyFill="1" applyBorder="1"/>
    <x:xf numFmtId="0" fontId="10" fillId="0" borderId="1" xfId="0" applyNumberFormat="1" applyFont="1" applyFill="1" applyBorder="1" applyAlignment="1">
      <x:alignment wrapText="1"/>
    </x:xf>
    <x:xf numFmtId="0" fontId="8" fillId="0" borderId="1" xfId="0" applyNumberFormat="1" applyFont="1" applyFill="1" applyBorder="1" applyAlignment="1">
      <x:alignment wrapText="1"/>
    </x:xf>
    <x:xf numFmtId="0" fontId="11" fillId="2" borderId="0" xfId="0" applyNumberFormat="1" applyFont="1" applyFill="1" applyBorder="1"/>
    <x:xf numFmtId="0" fontId="12" fillId="2" borderId="0" xfId="0" applyNumberFormat="1" applyFont="1" applyFill="1" applyBorder="1"/>
    <x:xf numFmtId="200" fontId="13" fillId="3" borderId="0" xfId="0" applyNumberFormat="1" applyFont="1" applyFill="1" applyBorder="1"/>
    <x:xf numFmtId="201" fontId="13" fillId="3" borderId="0" xfId="0" applyNumberFormat="1" applyFont="1" applyFill="1" applyBorder="1"/>
    <x:xf numFmtId="202" fontId="13" fillId="3" borderId="0" xfId="0" applyNumberFormat="1" applyFont="1" applyFill="1" applyBorder="1"/>
    <x:xf numFmtId="0" fontId="13" fillId="3" borderId="0" xfId="0" applyNumberFormat="1" applyFont="1" applyFill="1" applyBorder="1"/>
    <x:xf numFmtId="203" fontId="13" fillId="3" borderId="0" xfId="0" applyNumberFormat="1" applyFont="1" applyFill="1" applyBorder="1"/>
    <x:xf numFmtId="0" fontId="11" fillId="2" borderId="1" xfId="0" applyNumberFormat="1" applyFont="1" applyFill="1" applyBorder="1"/>
    <x:xf numFmtId="0" fontId="12" fillId="2" borderId="1" xfId="0" applyNumberFormat="1" applyFont="1" applyFill="1" applyBorder="1"/>
    <x:xf numFmtId="200" fontId="13" fillId="3" borderId="1" xfId="0" applyNumberFormat="1" applyFont="1" applyFill="1" applyBorder="1"/>
    <x:xf numFmtId="201" fontId="13" fillId="3" borderId="1" xfId="0" applyNumberFormat="1" applyFont="1" applyFill="1" applyBorder="1"/>
    <x:xf numFmtId="202" fontId="13" fillId="3" borderId="1" xfId="0" applyNumberFormat="1" applyFont="1" applyFill="1" applyBorder="1"/>
    <x:xf numFmtId="0" fontId="13" fillId="3" borderId="1" xfId="0" applyNumberFormat="1" applyFont="1" applyFill="1" applyBorder="1"/>
    <x:xf numFmtId="203" fontId="13" fillId="3" borderId="1" xfId="0" applyNumberFormat="1" applyFont="1" applyFill="1" applyBorder="1"/>
    <x:xf numFmtId="201" fontId="8" fillId="0" borderId="0" xfId="0" applyNumberFormat="1" applyFont="1" applyFill="1" applyBorder="1"/>
    <x:xf numFmtId="204" fontId="8" fillId="0" borderId="0" xfId="0" applyNumberFormat="1" applyFont="1" applyFill="1" applyBorder="1"/>
    <x:xf numFmtId="205" fontId="8" fillId="0" borderId="0" xfId="0" applyNumberFormat="1" applyFont="1" applyFill="1" applyBorder="1"/>
    <x:xf numFmtId="201" fontId="8" fillId="0" borderId="1" xfId="0" applyNumberFormat="1" applyFont="1" applyFill="1" applyBorder="1"/>
    <x:xf numFmtId="204" fontId="8" fillId="0" borderId="1" xfId="0" applyNumberFormat="1" applyFont="1" applyFill="1" applyBorder="1"/>
    <x:xf numFmtId="205" fontId="8" fillId="0" borderId="1" xfId="0" applyNumberFormat="1" applyFont="1" applyFill="1" applyBorder="1"/>
    <x:xf numFmtId="206" fontId="8" fillId="0" borderId="0" xfId="0" applyNumberFormat="1" applyFont="1" applyFill="1" applyBorder="1"/>
    <x:xf numFmtId="206" fontId="8" fillId="4" borderId="0" xfId="0" applyNumberFormat="1" applyFont="1" applyFill="1" applyBorder="1"/>
    <x:xf numFmtId="201" fontId="8" fillId="4" borderId="0" xfId="0" applyNumberFormat="1" applyFont="1" applyFill="1" applyBorder="1"/>
    <x:xf numFmtId="204" fontId="8" fillId="4" borderId="0" xfId="0" applyNumberFormat="1" applyFont="1" applyFill="1" applyBorder="1"/>
    <x:xf numFmtId="206" fontId="8" fillId="0" borderId="1" xfId="0" applyNumberFormat="1" applyFont="1" applyFill="1" applyBorder="1"/>
    <x:xf numFmtId="206" fontId="8" fillId="4" borderId="1" xfId="0" applyNumberFormat="1" applyFont="1" applyFill="1" applyBorder="1"/>
    <x:xf numFmtId="201" fontId="8" fillId="4" borderId="1" xfId="0" applyNumberFormat="1" applyFont="1" applyFill="1" applyBorder="1"/>
    <x:xf numFmtId="204" fontId="8" fillId="4" borderId="1" xfId="0" applyNumberFormat="1" applyFont="1" applyFill="1" applyBorder="1"/>
    <x:xf numFmtId="0" fontId="1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89a96188c34795" /><Relationship Type="http://schemas.openxmlformats.org/officeDocument/2006/relationships/theme" Target="/xl/theme/theme1.xml" Id="Rf747424a3d5a45dc" /><Relationship Type="http://schemas.openxmlformats.org/officeDocument/2006/relationships/sharedStrings" Target="/xl/sharedStrings.xml" Id="R9930ae75f4a24cbd" /><Relationship Type="http://schemas.openxmlformats.org/officeDocument/2006/relationships/worksheet" Target="/xl/worksheets/sheet1.xml" Id="R986e8c040e3a4355" /><Relationship Type="http://schemas.openxmlformats.org/officeDocument/2006/relationships/worksheet" Target="/xl/worksheets/sheet2.xml" Id="R40434a12e0d04de4" /><Relationship Type="http://schemas.openxmlformats.org/officeDocument/2006/relationships/worksheet" Target="/xl/worksheets/sheet3.xml" Id="R2b06d30fd25a4108" /><Relationship Type="http://schemas.openxmlformats.org/officeDocument/2006/relationships/worksheet" Target="/xl/worksheets/sheet4.xml" Id="R2bf5e7f7d1c447f5" /><Relationship Type="http://schemas.openxmlformats.org/officeDocument/2006/relationships/worksheet" Target="/xl/worksheets/sheet5.xml" Id="Raac50eaf9f2b479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0bd7d98bccf478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USD Proceeds Across EUR/USD Settlement Rates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No Hedge</c:v>
          </c:tx>
          <c:marker>
            <c:symbol val="none"/>
          </c:marker>
          <c:cat>
            <c:strRef>
              <c:f>'Sensitivity'!$B$4:$B$14</c:f>
              <c:strCache>
                <c:ptCount val="0"/>
              </c:strCache>
            </c:strRef>
          </c:cat>
          <c:val>
            <c:numRef>
              <c:f>'Sensitivity'!$C$4:$C$14</c:f>
              <c:numCache>
                <c:formatCode>$#,##0;[Red]($#,##0);-</c:formatCode>
                <c:ptCount val="0"/>
              </c:numCache>
            </c:numRef>
          </c:val>
        </c:ser>
        <c:ser>
          <c:idx val="1"/>
          <c:order val="1"/>
          <c:tx>
            <c:v>Forward</c:v>
          </c:tx>
          <c:marker>
            <c:symbol val="none"/>
          </c:marker>
          <c:cat>
            <c:strRef>
              <c:f>'Sensitivity'!$B$4:$B$14</c:f>
              <c:strCache>
                <c:ptCount val="0"/>
              </c:strCache>
            </c:strRef>
          </c:cat>
          <c:val>
            <c:numRef>
              <c:f>'Sensitivity'!$D$4:$D$14</c:f>
              <c:numCache>
                <c:formatCode>$#,##0;[Red]($#,##0);-</c:formatCode>
                <c:ptCount val="0"/>
              </c:numCache>
            </c:numRef>
          </c:val>
        </c:ser>
        <c:ser>
          <c:idx val="2"/>
          <c:order val="2"/>
          <c:tx>
            <c:v>Money Market</c:v>
          </c:tx>
          <c:marker>
            <c:symbol val="none"/>
          </c:marker>
          <c:cat>
            <c:strRef>
              <c:f>'Sensitivity'!$B$4:$B$14</c:f>
              <c:strCache>
                <c:ptCount val="0"/>
              </c:strCache>
            </c:strRef>
          </c:cat>
          <c:val>
            <c:numRef>
              <c:f>'Sensitivity'!$E$4:$E$14</c:f>
              <c:numCache>
                <c:formatCode>$#,##0;[Red]($#,##0);-</c:formatCode>
                <c:ptCount val="0"/>
              </c:numCache>
            </c:numRef>
          </c:val>
        </c:ser>
        <c:ser>
          <c:idx val="3"/>
          <c:order val="3"/>
          <c:tx>
            <c:v>Put Option</c:v>
          </c:tx>
          <c:marker>
            <c:symbol val="none"/>
          </c:marker>
          <c:cat>
            <c:strRef>
              <c:f>'Sensitivity'!$B$4:$B$14</c:f>
              <c:strCache>
                <c:ptCount val="0"/>
              </c:strCache>
            </c:strRef>
          </c:cat>
          <c:val>
            <c:numRef>
              <c:f>'Sensitivity'!$F$4:$F$14</c:f>
              <c:numCache>
                <c:formatCode>$#,##0;[Red]($#,##0);-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2</xdr:row>
      <xdr:rowOff>0</xdr:rowOff>
    </xdr:from>
    <xdr:to>
      <xdr:col>19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0bd7d98bccf478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2cf44137e3ff466c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>
      <x:c r="A1" s="48" t="str">
        <x:v>FIN-321 International Finance &amp; Securities</x:v>
      </x:c>
      <x:c r="B1" s="48"/>
      <x:c r="C1" s="48"/>
      <x:c r="D1" s="48"/>
      <x:c r="E1" s="48"/>
      <x:c r="F1" s="48"/>
      <x:c r="G1" s="49"/>
      <x:c r="H1" s="49"/>
      <x:c r="I1" s="49"/>
      <x:c r="J1" s="49"/>
      <x:c r="K1" s="49"/>
      <x:c r="L1" s="49"/>
      <x:c r="M1" s="49"/>
      <x:c r="N1" s="49"/>
      <x:c r="O1" s="49"/>
      <x:c r="P1" s="49"/>
      <x:c r="Q1" s="49"/>
      <x:c r="R1" s="49"/>
      <x:c r="S1" s="49"/>
    </x:row>
    <x:row r="2">
      <x:c r="A2" s="48"/>
      <x:c r="B2" s="48"/>
      <x:c r="C2" s="48"/>
      <x:c r="D2" s="48"/>
      <x:c r="E2" s="48"/>
      <x:c r="F2" s="48"/>
      <x:c r="G2" s="49"/>
      <x:c r="H2" s="49"/>
      <x:c r="I2" s="49"/>
      <x:c r="J2" s="49"/>
      <x:c r="K2" s="49"/>
      <x:c r="L2" s="49"/>
      <x:c r="M2" s="49"/>
      <x:c r="N2" s="49"/>
      <x:c r="O2" s="49"/>
      <x:c r="P2" s="49"/>
      <x:c r="Q2" s="49"/>
      <x:c r="R2" s="49"/>
      <x:c r="S2" s="49"/>
    </x:row>
    <x:row r="3">
      <x:c r="A3" s="49"/>
      <x:c r="B3" s="49"/>
      <x:c r="C3" s="49"/>
      <x:c r="D3" s="49"/>
      <x:c r="E3" s="49"/>
      <x:c r="F3" s="49"/>
      <x:c r="G3" s="49"/>
      <x:c r="H3" s="49"/>
      <x:c r="I3" s="49"/>
      <x:c r="J3" s="49"/>
      <x:c r="K3" s="49"/>
      <x:c r="L3" s="49"/>
      <x:c r="M3" s="49"/>
      <x:c r="N3" s="49"/>
      <x:c r="O3" s="49"/>
      <x:c r="P3" s="49"/>
      <x:c r="Q3" s="49"/>
      <x:c r="R3" s="49"/>
      <x:c r="S3" s="49"/>
    </x:row>
    <x:row r="4">
      <x:c r="A4" s="50" t="str">
        <x:v>FX Transaction Hedge Model — U.S. Tech Services Firm</x:v>
      </x:c>
      <x:c r="B4" s="50"/>
      <x:c r="C4" s="50"/>
      <x:c r="D4" s="50"/>
      <x:c r="E4" s="50"/>
      <x:c r="F4" s="50"/>
      <x:c r="G4" s="49"/>
      <x:c r="H4" s="49"/>
      <x:c r="I4" s="49"/>
      <x:c r="J4" s="49"/>
      <x:c r="K4" s="49"/>
      <x:c r="L4" s="49"/>
      <x:c r="M4" s="49"/>
      <x:c r="N4" s="49"/>
      <x:c r="O4" s="49"/>
      <x:c r="P4" s="49"/>
      <x:c r="Q4" s="49"/>
      <x:c r="R4" s="49"/>
      <x:c r="S4" s="49"/>
    </x:row>
    <x:row r="5">
      <x:c r="A5" s="49"/>
      <x:c r="B5" s="49"/>
      <x:c r="C5" s="49"/>
      <x:c r="D5" s="49"/>
      <x:c r="E5" s="49"/>
      <x:c r="F5" s="49"/>
      <x:c r="G5" s="49"/>
      <x:c r="H5" s="49"/>
      <x:c r="I5" s="49"/>
      <x:c r="J5" s="49"/>
      <x:c r="K5" s="49"/>
      <x:c r="L5" s="49"/>
      <x:c r="M5" s="49"/>
      <x:c r="N5" s="49"/>
      <x:c r="O5" s="49"/>
      <x:c r="P5" s="49"/>
      <x:c r="Q5" s="49"/>
      <x:c r="R5" s="49"/>
      <x:c r="S5" s="49"/>
    </x:row>
    <x:row r="6">
      <x:c r="A6" s="51" t="str">
        <x:v>Prepared by</x:v>
      </x:c>
      <x:c r="B6" s="52" t="str">
        <x:v>Kathy Chau</x:v>
      </x:c>
      <x:c r="C6" s="52"/>
      <x:c r="D6" s="52"/>
      <x:c r="E6" s="52"/>
      <x:c r="F6" s="52"/>
      <x:c r="G6" s="49"/>
      <x:c r="H6" s="49"/>
      <x:c r="I6" s="49"/>
      <x:c r="J6" s="49"/>
      <x:c r="K6" s="49"/>
      <x:c r="L6" s="49"/>
      <x:c r="M6" s="49"/>
      <x:c r="N6" s="49"/>
      <x:c r="O6" s="49"/>
      <x:c r="P6" s="49"/>
      <x:c r="Q6" s="49"/>
      <x:c r="R6" s="49"/>
      <x:c r="S6" s="49"/>
    </x:row>
    <x:row r="7">
      <x:c r="A7" s="51" t="str">
        <x:v>Scenario</x:v>
      </x:c>
      <x:c r="B7" s="52" t="str">
        <x:v>tech-services</x:v>
      </x:c>
      <x:c r="C7" s="52"/>
      <x:c r="D7" s="52"/>
      <x:c r="E7" s="52"/>
      <x:c r="F7" s="52"/>
      <x:c r="G7" s="49"/>
      <x:c r="H7" s="49"/>
      <x:c r="I7" s="49"/>
      <x:c r="J7" s="49"/>
      <x:c r="K7" s="49"/>
      <x:c r="L7" s="49"/>
      <x:c r="M7" s="49"/>
      <x:c r="N7" s="49"/>
      <x:c r="O7" s="49"/>
      <x:c r="P7" s="49"/>
      <x:c r="Q7" s="49"/>
      <x:c r="R7" s="49"/>
      <x:c r="S7" s="49"/>
    </x:row>
    <x:row r="8">
      <x:c r="A8" s="51" t="str">
        <x:v>Exposure</x:v>
      </x:c>
      <x:c r="B8" s="52" t="str">
        <x:v>EUR receivable</x:v>
      </x:c>
      <x:c r="C8" s="52"/>
      <x:c r="D8" s="52"/>
      <x:c r="E8" s="52"/>
      <x:c r="F8" s="52"/>
      <x:c r="G8" s="49"/>
      <x:c r="H8" s="49"/>
      <x:c r="I8" s="49"/>
      <x:c r="J8" s="49"/>
      <x:c r="K8" s="49"/>
      <x:c r="L8" s="49"/>
      <x:c r="M8" s="49"/>
      <x:c r="N8" s="49"/>
      <x:c r="O8" s="49"/>
      <x:c r="P8" s="49"/>
      <x:c r="Q8" s="49"/>
      <x:c r="R8" s="49"/>
      <x:c r="S8" s="49"/>
    </x:row>
    <x:row r="9">
      <x:c r="A9" s="51" t="str">
        <x:v>Receivable</x:v>
      </x:c>
      <x:c r="B9" s="52" t="str">
        <x:v>€12,500,000</x:v>
      </x:c>
      <x:c r="C9" s="52"/>
      <x:c r="D9" s="52"/>
      <x:c r="E9" s="52"/>
      <x:c r="F9" s="52"/>
      <x:c r="G9" s="49"/>
      <x:c r="H9" s="49"/>
      <x:c r="I9" s="49"/>
      <x:c r="J9" s="49"/>
      <x:c r="K9" s="49"/>
      <x:c r="L9" s="49"/>
      <x:c r="M9" s="49"/>
      <x:c r="N9" s="49"/>
      <x:c r="O9" s="49"/>
      <x:c r="P9" s="49"/>
      <x:c r="Q9" s="49"/>
      <x:c r="R9" s="49"/>
      <x:c r="S9" s="49"/>
    </x:row>
    <x:row r="10">
      <x:c r="A10" s="51" t="str">
        <x:v>Indicative forward</x:v>
      </x:c>
      <x:c r="B10" s="52" t="str">
        <x:v>1.0910 USD/EUR</x:v>
      </x:c>
      <x:c r="C10" s="52"/>
      <x:c r="D10" s="52"/>
      <x:c r="E10" s="52"/>
      <x:c r="F10" s="52"/>
      <x:c r="G10" s="49"/>
      <x:c r="H10" s="49"/>
      <x:c r="I10" s="49"/>
      <x:c r="J10" s="49"/>
      <x:c r="K10" s="49"/>
      <x:c r="L10" s="49"/>
      <x:c r="M10" s="49"/>
      <x:c r="N10" s="49"/>
      <x:c r="O10" s="49"/>
      <x:c r="P10" s="49"/>
      <x:c r="Q10" s="49"/>
      <x:c r="R10" s="49"/>
      <x:c r="S10" s="49"/>
    </x:row>
    <x:row r="11">
      <x:c r="A11" s="51" t="str">
        <x:v>Model stage</x:v>
      </x:c>
      <x:c r="B11" s="52" t="str">
        <x:v>Stage 3 model build</x:v>
      </x:c>
      <x:c r="C11" s="52"/>
      <x:c r="D11" s="52"/>
      <x:c r="E11" s="52"/>
      <x:c r="F11" s="52"/>
      <x:c r="G11" s="49"/>
      <x:c r="H11" s="49"/>
      <x:c r="I11" s="49"/>
      <x:c r="J11" s="49"/>
      <x:c r="K11" s="49"/>
      <x:c r="L11" s="49"/>
      <x:c r="M11" s="49"/>
      <x:c r="N11" s="49"/>
      <x:c r="O11" s="49"/>
      <x:c r="P11" s="49"/>
      <x:c r="Q11" s="49"/>
      <x:c r="R11" s="49"/>
      <x:c r="S11" s="49"/>
    </x:row>
    <x:row r="12">
      <x:c r="A12" s="51" t="str">
        <x:v>Purpose</x:v>
      </x:c>
      <x:c r="B12" s="52" t="str">
        <x:v>Compare the four FX choices and see how the USD amount changes if the euro moves.</x:v>
      </x:c>
      <x:c r="C12" s="52"/>
      <x:c r="D12" s="52"/>
      <x:c r="E12" s="52"/>
      <x:c r="F12" s="52"/>
      <x:c r="G12" s="49"/>
      <x:c r="H12" s="49"/>
      <x:c r="I12" s="49"/>
      <x:c r="J12" s="49"/>
      <x:c r="K12" s="49"/>
      <x:c r="L12" s="49"/>
      <x:c r="M12" s="49"/>
      <x:c r="N12" s="49"/>
      <x:c r="O12" s="49"/>
      <x:c r="P12" s="49"/>
      <x:c r="Q12" s="49"/>
      <x:c r="R12" s="49"/>
      <x:c r="S12" s="49"/>
    </x:row>
    <x:row r="13">
      <x:c r="A13" s="49"/>
      <x:c r="B13" s="49"/>
      <x:c r="C13" s="49"/>
      <x:c r="D13" s="49"/>
      <x:c r="E13" s="49"/>
      <x:c r="F13" s="49"/>
      <x:c r="G13" s="49"/>
      <x:c r="H13" s="49"/>
      <x:c r="I13" s="49"/>
      <x:c r="J13" s="49"/>
      <x:c r="K13" s="49"/>
      <x:c r="L13" s="49"/>
      <x:c r="M13" s="49"/>
      <x:c r="N13" s="49"/>
      <x:c r="O13" s="49"/>
      <x:c r="P13" s="49"/>
      <x:c r="Q13" s="49"/>
      <x:c r="R13" s="49"/>
      <x:c r="S13" s="49"/>
    </x:row>
    <x:row r="14">
      <x:c r="A14" s="49"/>
      <x:c r="B14" s="49"/>
      <x:c r="C14" s="49"/>
      <x:c r="D14" s="49"/>
      <x:c r="E14" s="49"/>
      <x:c r="F14" s="49"/>
      <x:c r="G14" s="49"/>
      <x:c r="H14" s="49"/>
      <x:c r="I14" s="49"/>
      <x:c r="J14" s="49"/>
      <x:c r="K14" s="49"/>
      <x:c r="L14" s="49"/>
      <x:c r="M14" s="49"/>
      <x:c r="N14" s="49"/>
      <x:c r="O14" s="49"/>
      <x:c r="P14" s="49"/>
      <x:c r="Q14" s="49"/>
      <x:c r="R14" s="49"/>
      <x:c r="S14" s="49"/>
    </x:row>
    <x:row r="15">
      <x:c r="A15" s="49"/>
      <x:c r="B15" s="49"/>
      <x:c r="C15" s="49"/>
      <x:c r="D15" s="49"/>
      <x:c r="E15" s="49"/>
      <x:c r="F15" s="49"/>
      <x:c r="G15" s="49"/>
      <x:c r="H15" s="49"/>
      <x:c r="I15" s="49"/>
      <x:c r="J15" s="49"/>
      <x:c r="K15" s="49"/>
      <x:c r="L15" s="49"/>
      <x:c r="M15" s="49"/>
      <x:c r="N15" s="49"/>
      <x:c r="O15" s="49"/>
      <x:c r="P15" s="49"/>
      <x:c r="Q15" s="49"/>
      <x:c r="R15" s="49"/>
      <x:c r="S15" s="49"/>
    </x:row>
    <x:row r="16">
      <x:c r="A16" s="49"/>
      <x:c r="B16" s="49"/>
      <x:c r="C16" s="49"/>
      <x:c r="D16" s="49"/>
      <x:c r="E16" s="49"/>
      <x:c r="F16" s="49"/>
      <x:c r="G16" s="49"/>
      <x:c r="H16" s="49"/>
      <x:c r="I16" s="49"/>
      <x:c r="J16" s="49"/>
      <x:c r="K16" s="49"/>
      <x:c r="L16" s="49"/>
      <x:c r="M16" s="49"/>
      <x:c r="N16" s="49"/>
      <x:c r="O16" s="49"/>
      <x:c r="P16" s="49"/>
      <x:c r="Q16" s="49"/>
      <x:c r="R16" s="49"/>
      <x:c r="S16" s="49"/>
    </x:row>
    <x:row r="17">
      <x:c r="A17" s="49"/>
      <x:c r="B17" s="49"/>
      <x:c r="C17" s="49"/>
      <x:c r="D17" s="49"/>
      <x:c r="E17" s="49"/>
      <x:c r="F17" s="49"/>
      <x:c r="G17" s="49"/>
      <x:c r="H17" s="49"/>
      <x:c r="I17" s="49"/>
      <x:c r="J17" s="49"/>
      <x:c r="K17" s="49"/>
      <x:c r="L17" s="49"/>
      <x:c r="M17" s="49"/>
      <x:c r="N17" s="49"/>
      <x:c r="O17" s="49"/>
      <x:c r="P17" s="49"/>
      <x:c r="Q17" s="49"/>
      <x:c r="R17" s="49"/>
      <x:c r="S17" s="49"/>
    </x:row>
    <x:row r="18">
      <x:c r="A18" s="49"/>
      <x:c r="B18" s="49"/>
      <x:c r="C18" s="49"/>
      <x:c r="D18" s="49"/>
      <x:c r="E18" s="49"/>
      <x:c r="F18" s="49"/>
      <x:c r="G18" s="49"/>
      <x:c r="H18" s="49"/>
      <x:c r="I18" s="49"/>
      <x:c r="J18" s="49"/>
      <x:c r="K18" s="49"/>
      <x:c r="L18" s="49"/>
      <x:c r="M18" s="49"/>
      <x:c r="N18" s="49"/>
      <x:c r="O18" s="49"/>
      <x:c r="P18" s="49"/>
      <x:c r="Q18" s="49"/>
      <x:c r="R18" s="49"/>
      <x:c r="S18" s="49"/>
    </x:row>
    <x:row r="19">
      <x:c r="A19" s="49"/>
      <x:c r="B19" s="49"/>
      <x:c r="C19" s="49"/>
      <x:c r="D19" s="49"/>
      <x:c r="E19" s="49"/>
      <x:c r="F19" s="49"/>
      <x:c r="G19" s="49"/>
      <x:c r="H19" s="49"/>
      <x:c r="I19" s="49"/>
      <x:c r="J19" s="49"/>
      <x:c r="K19" s="49"/>
      <x:c r="L19" s="49"/>
      <x:c r="M19" s="49"/>
      <x:c r="N19" s="49"/>
      <x:c r="O19" s="49"/>
      <x:c r="P19" s="49"/>
      <x:c r="Q19" s="49"/>
      <x:c r="R19" s="49"/>
      <x:c r="S19" s="49"/>
    </x:row>
    <x:row r="20">
      <x:c r="A20" s="49"/>
      <x:c r="B20" s="49"/>
      <x:c r="C20" s="49"/>
      <x:c r="D20" s="49"/>
      <x:c r="E20" s="49"/>
      <x:c r="F20" s="49"/>
      <x:c r="G20" s="49"/>
      <x:c r="H20" s="49"/>
      <x:c r="I20" s="49"/>
      <x:c r="J20" s="49"/>
      <x:c r="K20" s="49"/>
      <x:c r="L20" s="49"/>
      <x:c r="M20" s="49"/>
      <x:c r="N20" s="49"/>
      <x:c r="O20" s="49"/>
      <x:c r="P20" s="49"/>
      <x:c r="Q20" s="49"/>
      <x:c r="R20" s="49"/>
      <x:c r="S20" s="49"/>
    </x:row>
    <x:row r="21">
      <x:c r="A21" s="49"/>
      <x:c r="B21" s="49"/>
      <x:c r="C21" s="49"/>
      <x:c r="D21" s="49"/>
      <x:c r="E21" s="49"/>
      <x:c r="F21" s="49"/>
      <x:c r="G21" s="49"/>
      <x:c r="H21" s="49"/>
      <x:c r="I21" s="49"/>
      <x:c r="J21" s="49"/>
      <x:c r="K21" s="49"/>
      <x:c r="L21" s="49"/>
      <x:c r="M21" s="49"/>
      <x:c r="N21" s="49"/>
      <x:c r="O21" s="49"/>
      <x:c r="P21" s="49"/>
      <x:c r="Q21" s="49"/>
      <x:c r="R21" s="49"/>
      <x:c r="S21" s="49"/>
    </x:row>
    <x:row r="22">
      <x:c r="A22" s="49"/>
      <x:c r="B22" s="49"/>
      <x:c r="C22" s="49"/>
      <x:c r="D22" s="49"/>
      <x:c r="E22" s="49"/>
      <x:c r="F22" s="49"/>
      <x:c r="G22" s="49"/>
      <x:c r="H22" s="49"/>
      <x:c r="I22" s="49"/>
      <x:c r="J22" s="49"/>
      <x:c r="K22" s="49"/>
      <x:c r="L22" s="49"/>
      <x:c r="M22" s="49"/>
      <x:c r="N22" s="49"/>
      <x:c r="O22" s="49"/>
      <x:c r="P22" s="49"/>
      <x:c r="Q22" s="49"/>
      <x:c r="R22" s="49"/>
      <x:c r="S22" s="49"/>
    </x:row>
    <x:row r="23">
      <x:c r="A23" s="49"/>
      <x:c r="B23" s="49"/>
      <x:c r="C23" s="49"/>
      <x:c r="D23" s="49"/>
      <x:c r="E23" s="49"/>
      <x:c r="F23" s="49"/>
      <x:c r="G23" s="49"/>
      <x:c r="H23" s="49"/>
      <x:c r="I23" s="49"/>
      <x:c r="J23" s="49"/>
      <x:c r="K23" s="49"/>
      <x:c r="L23" s="49"/>
      <x:c r="M23" s="49"/>
      <x:c r="N23" s="49"/>
      <x:c r="O23" s="49"/>
      <x:c r="P23" s="49"/>
      <x:c r="Q23" s="49"/>
      <x:c r="R23" s="49"/>
      <x:c r="S23" s="49"/>
    </x:row>
    <x:row r="24">
      <x:c r="A24" s="49"/>
      <x:c r="B24" s="49"/>
      <x:c r="C24" s="49"/>
      <x:c r="D24" s="49"/>
      <x:c r="E24" s="49"/>
      <x:c r="F24" s="49"/>
      <x:c r="G24" s="49"/>
      <x:c r="H24" s="49"/>
      <x:c r="I24" s="49"/>
      <x:c r="J24" s="49"/>
      <x:c r="K24" s="49"/>
      <x:c r="L24" s="49"/>
      <x:c r="M24" s="49"/>
      <x:c r="N24" s="49"/>
      <x:c r="O24" s="49"/>
      <x:c r="P24" s="49"/>
      <x:c r="Q24" s="49"/>
      <x:c r="R24" s="49"/>
      <x:c r="S24" s="49"/>
    </x:row>
    <x:row r="25">
      <x:c r="A25" s="49"/>
      <x:c r="B25" s="49"/>
      <x:c r="C25" s="49"/>
      <x:c r="D25" s="49"/>
      <x:c r="E25" s="49"/>
      <x:c r="F25" s="49"/>
      <x:c r="G25" s="49"/>
      <x:c r="H25" s="49"/>
      <x:c r="I25" s="49"/>
      <x:c r="J25" s="49"/>
      <x:c r="K25" s="49"/>
      <x:c r="L25" s="49"/>
      <x:c r="M25" s="49"/>
      <x:c r="N25" s="49"/>
      <x:c r="O25" s="49"/>
      <x:c r="P25" s="49"/>
      <x:c r="Q25" s="49"/>
      <x:c r="R25" s="49"/>
      <x:c r="S25" s="49"/>
    </x:row>
    <x:row r="26">
      <x:c r="A26" s="49"/>
      <x:c r="B26" s="49"/>
      <x:c r="C26" s="49"/>
      <x:c r="D26" s="49"/>
      <x:c r="E26" s="49"/>
      <x:c r="F26" s="49"/>
      <x:c r="G26" s="49"/>
      <x:c r="H26" s="49"/>
      <x:c r="I26" s="49"/>
      <x:c r="J26" s="49"/>
      <x:c r="K26" s="49"/>
      <x:c r="L26" s="49"/>
      <x:c r="M26" s="49"/>
      <x:c r="N26" s="49"/>
      <x:c r="O26" s="49"/>
      <x:c r="P26" s="49"/>
      <x:c r="Q26" s="49"/>
      <x:c r="R26" s="49"/>
      <x:c r="S26" s="49"/>
    </x:row>
    <x:row r="27">
      <x:c r="A27" s="49"/>
      <x:c r="B27" s="49"/>
      <x:c r="C27" s="49"/>
      <x:c r="D27" s="49"/>
      <x:c r="E27" s="49"/>
      <x:c r="F27" s="49"/>
      <x:c r="G27" s="49"/>
      <x:c r="H27" s="49"/>
      <x:c r="I27" s="49"/>
      <x:c r="J27" s="49"/>
      <x:c r="K27" s="49"/>
      <x:c r="L27" s="49"/>
      <x:c r="M27" s="49"/>
      <x:c r="N27" s="49"/>
      <x:c r="O27" s="49"/>
      <x:c r="P27" s="49"/>
      <x:c r="Q27" s="49"/>
      <x:c r="R27" s="49"/>
      <x:c r="S27" s="49"/>
    </x:row>
    <x:row r="28">
      <x:c r="A28" s="49"/>
      <x:c r="B28" s="49"/>
      <x:c r="C28" s="49"/>
      <x:c r="D28" s="49"/>
      <x:c r="E28" s="49"/>
      <x:c r="F28" s="49"/>
      <x:c r="G28" s="49"/>
      <x:c r="H28" s="49"/>
      <x:c r="I28" s="49"/>
      <x:c r="J28" s="49"/>
      <x:c r="K28" s="49"/>
      <x:c r="L28" s="49"/>
      <x:c r="M28" s="49"/>
      <x:c r="N28" s="49"/>
      <x:c r="O28" s="49"/>
      <x:c r="P28" s="49"/>
      <x:c r="Q28" s="49"/>
      <x:c r="R28" s="49"/>
      <x:c r="S28" s="49"/>
    </x:row>
    <x:row r="29">
      <x:c r="A29" s="49"/>
      <x:c r="B29" s="49"/>
      <x:c r="C29" s="49"/>
      <x:c r="D29" s="49"/>
      <x:c r="E29" s="49"/>
      <x:c r="F29" s="49"/>
      <x:c r="G29" s="49"/>
      <x:c r="H29" s="49"/>
      <x:c r="I29" s="49"/>
      <x:c r="J29" s="49"/>
      <x:c r="K29" s="49"/>
      <x:c r="L29" s="49"/>
      <x:c r="M29" s="49"/>
      <x:c r="N29" s="49"/>
      <x:c r="O29" s="49"/>
      <x:c r="P29" s="49"/>
      <x:c r="Q29" s="49"/>
      <x:c r="R29" s="49"/>
      <x:c r="S29" s="49"/>
    </x:row>
    <x:row r="30">
      <x:c r="A30" s="49"/>
      <x:c r="B30" s="49"/>
      <x:c r="C30" s="49"/>
      <x:c r="D30" s="49"/>
      <x:c r="E30" s="49"/>
      <x:c r="F30" s="49"/>
      <x:c r="G30" s="49"/>
      <x:c r="H30" s="49"/>
      <x:c r="I30" s="49"/>
      <x:c r="J30" s="49"/>
      <x:c r="K30" s="49"/>
      <x:c r="L30" s="49"/>
      <x:c r="M30" s="49"/>
      <x:c r="N30" s="49"/>
      <x:c r="O30" s="49"/>
      <x:c r="P30" s="49"/>
      <x:c r="Q30" s="49"/>
      <x:c r="R30" s="49"/>
      <x:c r="S30" s="49"/>
    </x:row>
  </x:sheetData>
  <x:mergeCells>
    <x:mergeCell ref="A1:F2"/>
    <x:mergeCell ref="A4:F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1" hidden="0" customWidth="1"/>
    <x:col min="3" max="3" width="16" hidden="0" customWidth="1"/>
    <x:col min="4" max="4" width="14" hidden="0" customWidth="1"/>
    <x:col min="5" max="5" width="34" hidden="0" customWidth="1"/>
  </x:cols>
  <x:sheetData>
    <x:row r="1">
      <x:c r="A1" s="58" t="str">
        <x:v>INPUTS &amp; STANDARDIZED NAMES</x:v>
      </x:c>
      <x:c r="B1" s="58"/>
      <x:c r="C1" s="58"/>
      <x:c r="D1" s="58"/>
      <x:c r="E1" s="58"/>
      <x:c r="F1" s="49"/>
      <x:c r="G1" s="49"/>
      <x:c r="H1" s="49"/>
      <x:c r="I1" s="49"/>
      <x:c r="J1" s="49"/>
      <x:c r="K1" s="49"/>
      <x:c r="L1" s="49"/>
      <x:c r="M1" s="49"/>
      <x:c r="N1" s="49"/>
      <x:c r="O1" s="49"/>
      <x:c r="P1" s="49"/>
      <x:c r="Q1" s="49"/>
      <x:c r="R1" s="49"/>
      <x:c r="S1" s="49"/>
    </x:row>
    <x:row r="2">
      <x:c r="A2" s="49"/>
      <x:c r="B2" s="49"/>
      <x:c r="C2" s="49"/>
      <x:c r="D2" s="49"/>
      <x:c r="E2" s="49"/>
      <x:c r="F2" s="49"/>
      <x:c r="G2" s="49"/>
      <x:c r="H2" s="49"/>
      <x:c r="I2" s="49"/>
      <x:c r="J2" s="49"/>
      <x:c r="K2" s="49"/>
      <x:c r="L2" s="49"/>
      <x:c r="M2" s="49"/>
      <x:c r="N2" s="49"/>
      <x:c r="O2" s="49"/>
      <x:c r="P2" s="49"/>
      <x:c r="Q2" s="49"/>
      <x:c r="R2" s="49"/>
      <x:c r="S2" s="49"/>
    </x:row>
    <x:row r="3">
      <x:c r="A3" s="59" t="str">
        <x:v>Standardized Name</x:v>
      </x:c>
      <x:c r="B3" s="59" t="str">
        <x:v>Description</x:v>
      </x:c>
      <x:c r="C3" s="59" t="str">
        <x:v>Value</x:v>
      </x:c>
      <x:c r="D3" s="59" t="str">
        <x:v>Unit</x:v>
      </x:c>
      <x:c r="E3" s="59" t="str">
        <x:v>Status / Source</x:v>
      </x:c>
      <x:c r="F3" s="49"/>
      <x:c r="G3" s="49"/>
      <x:c r="H3" s="49"/>
      <x:c r="I3" s="49"/>
      <x:c r="J3" s="49"/>
      <x:c r="K3" s="49"/>
      <x:c r="L3" s="49"/>
      <x:c r="M3" s="49"/>
      <x:c r="N3" s="49"/>
      <x:c r="O3" s="49"/>
      <x:c r="P3" s="49"/>
      <x:c r="Q3" s="49"/>
      <x:c r="R3" s="49"/>
      <x:c r="S3" s="49"/>
    </x:row>
    <x:row r="4">
      <x:c r="A4" s="49" t="str">
        <x:v>FC_AMT</x:v>
      </x:c>
      <x:c r="B4" s="49" t="str">
        <x:v>Foreign-currency receivable</x:v>
      </x:c>
      <x:c r="C4" s="60" t="n">
        <x:v>12500000</x:v>
      </x:c>
      <x:c r="D4" s="49" t="str">
        <x:v>EUR</x:v>
      </x:c>
      <x:c r="E4" s="49" t="str">
        <x:v>Assigned scenario</x:v>
      </x:c>
      <x:c r="F4" s="49"/>
      <x:c r="G4" s="49"/>
      <x:c r="H4" s="49"/>
      <x:c r="I4" s="49"/>
      <x:c r="J4" s="49"/>
      <x:c r="K4" s="49"/>
      <x:c r="L4" s="49"/>
      <x:c r="M4" s="49"/>
      <x:c r="N4" s="49"/>
      <x:c r="O4" s="49"/>
      <x:c r="P4" s="49"/>
      <x:c r="Q4" s="49"/>
      <x:c r="R4" s="49"/>
      <x:c r="S4" s="49"/>
    </x:row>
    <x:row r="5">
      <x:c r="A5" s="49" t="str">
        <x:v>S0_in</x:v>
      </x:c>
      <x:c r="B5" s="49" t="str">
        <x:v>Spot rate at inception</x:v>
      </x:c>
      <x:c r="C5" s="61" t="n">
        <x:v>1.46</x:v>
      </x:c>
      <x:c r="D5" s="49" t="str">
        <x:v>USD/EUR</x:v>
      </x:c>
      <x:c r="E5" s="49" t="str">
        <x:v>Template placeholder — replace Stage 4</x:v>
      </x:c>
      <x:c r="F5" s="49"/>
      <x:c r="G5" s="49"/>
      <x:c r="H5" s="49"/>
      <x:c r="I5" s="49"/>
      <x:c r="J5" s="49"/>
      <x:c r="K5" s="49"/>
      <x:c r="L5" s="49"/>
      <x:c r="M5" s="49"/>
      <x:c r="N5" s="49"/>
      <x:c r="O5" s="49"/>
      <x:c r="P5" s="49"/>
      <x:c r="Q5" s="49"/>
      <x:c r="R5" s="49"/>
      <x:c r="S5" s="49"/>
    </x:row>
    <x:row r="6">
      <x:c r="A6" s="49" t="str">
        <x:v>F0_in</x:v>
      </x:c>
      <x:c r="B6" s="49" t="str">
        <x:v>Forward rate to settlement</x:v>
      </x:c>
      <x:c r="C6" s="61" t="n">
        <x:v>1.091</x:v>
      </x:c>
      <x:c r="D6" s="49" t="str">
        <x:v>USD/EUR</x:v>
      </x:c>
      <x:c r="E6" s="49" t="str">
        <x:v>Assigned indicative forward</x:v>
      </x:c>
      <x:c r="F6" s="49"/>
      <x:c r="G6" s="49"/>
      <x:c r="H6" s="49"/>
      <x:c r="I6" s="49"/>
      <x:c r="J6" s="49"/>
      <x:c r="K6" s="49"/>
      <x:c r="L6" s="49"/>
      <x:c r="M6" s="49"/>
      <x:c r="N6" s="49"/>
      <x:c r="O6" s="49"/>
      <x:c r="P6" s="49"/>
      <x:c r="Q6" s="49"/>
      <x:c r="R6" s="49"/>
      <x:c r="S6" s="49"/>
    </x:row>
    <x:row r="7">
      <x:c r="A7" s="49" t="str">
        <x:v>R_USD</x:v>
      </x:c>
      <x:c r="B7" s="49" t="str">
        <x:v>USD interest rate</x:v>
      </x:c>
      <x:c r="C7" s="62" t="n">
        <x:v>0.06</x:v>
      </x:c>
      <x:c r="D7" s="49" t="str">
        <x:v>Annual %</x:v>
      </x:c>
      <x:c r="E7" s="49" t="str">
        <x:v>Template placeholder — replace Stage 4</x:v>
      </x:c>
      <x:c r="F7" s="49"/>
      <x:c r="G7" s="49"/>
      <x:c r="H7" s="49"/>
      <x:c r="I7" s="49"/>
      <x:c r="J7" s="49"/>
      <x:c r="K7" s="49"/>
      <x:c r="L7" s="49"/>
      <x:c r="M7" s="49"/>
      <x:c r="N7" s="49"/>
      <x:c r="O7" s="49"/>
      <x:c r="P7" s="49"/>
      <x:c r="Q7" s="49"/>
      <x:c r="R7" s="49"/>
      <x:c r="S7" s="49"/>
    </x:row>
    <x:row r="8">
      <x:c r="A8" s="49" t="str">
        <x:v>R_FC</x:v>
      </x:c>
      <x:c r="B8" s="49" t="str">
        <x:v>EUR interest rate</x:v>
      </x:c>
      <x:c r="C8" s="62" t="n">
        <x:v>0.065</x:v>
      </x:c>
      <x:c r="D8" s="49" t="str">
        <x:v>Annual %</x:v>
      </x:c>
      <x:c r="E8" s="49" t="str">
        <x:v>Template placeholder — replace Stage 4</x:v>
      </x:c>
      <x:c r="F8" s="49"/>
      <x:c r="G8" s="49"/>
      <x:c r="H8" s="49"/>
      <x:c r="I8" s="49"/>
      <x:c r="J8" s="49"/>
      <x:c r="K8" s="49"/>
      <x:c r="L8" s="49"/>
      <x:c r="M8" s="49"/>
      <x:c r="N8" s="49"/>
      <x:c r="O8" s="49"/>
      <x:c r="P8" s="49"/>
      <x:c r="Q8" s="49"/>
      <x:c r="R8" s="49"/>
      <x:c r="S8" s="49"/>
    </x:row>
    <x:row r="9">
      <x:c r="A9" s="49" t="str">
        <x:v>K_PUT</x:v>
      </x:c>
      <x:c r="B9" s="49" t="str">
        <x:v>Put strike</x:v>
      </x:c>
      <x:c r="C9" s="61" t="n">
        <x:v>1.46</x:v>
      </x:c>
      <x:c r="D9" s="49" t="str">
        <x:v>USD/EUR</x:v>
      </x:c>
      <x:c r="E9" s="49" t="str">
        <x:v>Template placeholder — replace Stage 4</x:v>
      </x:c>
      <x:c r="F9" s="49"/>
      <x:c r="G9" s="49"/>
      <x:c r="H9" s="49"/>
      <x:c r="I9" s="49"/>
      <x:c r="J9" s="49"/>
      <x:c r="K9" s="49"/>
      <x:c r="L9" s="49"/>
      <x:c r="M9" s="49"/>
      <x:c r="N9" s="49"/>
      <x:c r="O9" s="49"/>
      <x:c r="P9" s="49"/>
      <x:c r="Q9" s="49"/>
      <x:c r="R9" s="49"/>
      <x:c r="S9" s="49"/>
    </x:row>
    <x:row r="10">
      <x:c r="A10" s="49" t="str">
        <x:v>K_CALL</x:v>
      </x:c>
      <x:c r="B10" s="49" t="str">
        <x:v>Call strike</x:v>
      </x:c>
      <x:c r="C10" s="61" t="n">
        <x:v>1.8</x:v>
      </x:c>
      <x:c r="D10" s="49" t="str">
        <x:v>USD/EUR</x:v>
      </x:c>
      <x:c r="E10" s="49" t="str">
        <x:v>Template placeholder — payable reference</x:v>
      </x:c>
      <x:c r="F10" s="49"/>
      <x:c r="G10" s="49"/>
      <x:c r="H10" s="49"/>
      <x:c r="I10" s="49"/>
      <x:c r="J10" s="49"/>
      <x:c r="K10" s="49"/>
      <x:c r="L10" s="49"/>
      <x:c r="M10" s="49"/>
      <x:c r="N10" s="49"/>
      <x:c r="O10" s="49"/>
      <x:c r="P10" s="49"/>
      <x:c r="Q10" s="49"/>
      <x:c r="R10" s="49"/>
      <x:c r="S10" s="49"/>
    </x:row>
    <x:row r="11">
      <x:c r="A11" s="49" t="str">
        <x:v>PREM_PUT</x:v>
      </x:c>
      <x:c r="B11" s="49" t="str">
        <x:v>Put premium per EUR</x:v>
      </x:c>
      <x:c r="C11" s="61" t="n">
        <x:v>0.015</x:v>
      </x:c>
      <x:c r="D11" s="49" t="str">
        <x:v>USD/EUR</x:v>
      </x:c>
      <x:c r="E11" s="49" t="str">
        <x:v>Template placeholder — replace Stage 4</x:v>
      </x:c>
      <x:c r="F11" s="49"/>
      <x:c r="G11" s="49"/>
      <x:c r="H11" s="49"/>
      <x:c r="I11" s="49"/>
      <x:c r="J11" s="49"/>
      <x:c r="K11" s="49"/>
      <x:c r="L11" s="49"/>
      <x:c r="M11" s="49"/>
      <x:c r="N11" s="49"/>
      <x:c r="O11" s="49"/>
      <x:c r="P11" s="49"/>
      <x:c r="Q11" s="49"/>
      <x:c r="R11" s="49"/>
      <x:c r="S11" s="49"/>
    </x:row>
    <x:row r="12">
      <x:c r="A12" s="49" t="str">
        <x:v>PREM_CALL</x:v>
      </x:c>
      <x:c r="B12" s="49" t="str">
        <x:v>Call premium per EUR</x:v>
      </x:c>
      <x:c r="C12" s="61" t="n">
        <x:v>0.01</x:v>
      </x:c>
      <x:c r="D12" s="49" t="str">
        <x:v>USD/EUR</x:v>
      </x:c>
      <x:c r="E12" s="49" t="str">
        <x:v>Template placeholder — payable reference</x:v>
      </x:c>
      <x:c r="F12" s="49"/>
      <x:c r="G12" s="49"/>
      <x:c r="H12" s="49"/>
      <x:c r="I12" s="49"/>
      <x:c r="J12" s="49"/>
      <x:c r="K12" s="49"/>
      <x:c r="L12" s="49"/>
      <x:c r="M12" s="49"/>
      <x:c r="N12" s="49"/>
      <x:c r="O12" s="49"/>
      <x:c r="P12" s="49"/>
      <x:c r="Q12" s="49"/>
      <x:c r="R12" s="49"/>
      <x:c r="S12" s="49"/>
    </x:row>
    <x:row r="13">
      <x:c r="A13" s="49" t="str">
        <x:v>T_DAYS</x:v>
      </x:c>
      <x:c r="B13" s="49" t="str">
        <x:v>Days to settlement</x:v>
      </x:c>
      <x:c r="C13" s="63" t="n">
        <x:v>365</x:v>
      </x:c>
      <x:c r="D13" s="49" t="str">
        <x:v>Days</x:v>
      </x:c>
      <x:c r="E13" s="49" t="str">
        <x:v>Template 1-year assumption</x:v>
      </x:c>
      <x:c r="F13" s="49"/>
      <x:c r="G13" s="49"/>
      <x:c r="H13" s="49"/>
      <x:c r="I13" s="49"/>
      <x:c r="J13" s="49"/>
      <x:c r="K13" s="49"/>
      <x:c r="L13" s="49"/>
      <x:c r="M13" s="49"/>
      <x:c r="N13" s="49"/>
      <x:c r="O13" s="49"/>
      <x:c r="P13" s="49"/>
      <x:c r="Q13" s="49"/>
      <x:c r="R13" s="49"/>
      <x:c r="S13" s="49"/>
    </x:row>
    <x:row r="14">
      <x:c r="A14" s="49"/>
      <x:c r="B14" s="49"/>
      <x:c r="C14" s="49"/>
      <x:c r="D14" s="49"/>
      <x:c r="E14" s="49"/>
      <x:c r="F14" s="49"/>
      <x:c r="G14" s="49"/>
      <x:c r="H14" s="49"/>
      <x:c r="I14" s="49"/>
      <x:c r="J14" s="49"/>
      <x:c r="K14" s="49"/>
      <x:c r="L14" s="49"/>
      <x:c r="M14" s="49"/>
      <x:c r="N14" s="49"/>
      <x:c r="O14" s="49"/>
      <x:c r="P14" s="49"/>
      <x:c r="Q14" s="49"/>
      <x:c r="R14" s="49"/>
      <x:c r="S14" s="49"/>
    </x:row>
    <x:row r="15">
      <x:c r="A15" s="59" t="str">
        <x:v>Additional assumption</x:v>
      </x:c>
      <x:c r="B15" s="59" t="str">
        <x:v>Value</x:v>
      </x:c>
      <x:c r="C15" s="59" t="str">
        <x:v>Unit</x:v>
      </x:c>
      <x:c r="D15" s="49"/>
      <x:c r="E15" s="49"/>
      <x:c r="F15" s="49"/>
      <x:c r="G15" s="49"/>
      <x:c r="H15" s="49"/>
      <x:c r="I15" s="49"/>
      <x:c r="J15" s="49"/>
      <x:c r="K15" s="49"/>
      <x:c r="L15" s="49"/>
      <x:c r="M15" s="49"/>
      <x:c r="N15" s="49"/>
      <x:c r="O15" s="49"/>
      <x:c r="P15" s="49"/>
      <x:c r="Q15" s="49"/>
      <x:c r="R15" s="49"/>
      <x:c r="S15" s="49"/>
    </x:row>
    <x:row r="16">
      <x:c r="A16" s="49" t="str">
        <x:v>BASIS_USD</x:v>
      </x:c>
      <x:c r="B16" s="63" t="n">
        <x:v>360</x:v>
      </x:c>
      <x:c r="C16" s="49" t="str">
        <x:v>Days</x:v>
      </x:c>
      <x:c r="D16" s="49"/>
      <x:c r="E16" s="49"/>
      <x:c r="F16" s="49"/>
      <x:c r="G16" s="49"/>
      <x:c r="H16" s="49"/>
      <x:c r="I16" s="49"/>
      <x:c r="J16" s="49"/>
      <x:c r="K16" s="49"/>
      <x:c r="L16" s="49"/>
      <x:c r="M16" s="49"/>
      <x:c r="N16" s="49"/>
      <x:c r="O16" s="49"/>
      <x:c r="P16" s="49"/>
      <x:c r="Q16" s="49"/>
      <x:c r="R16" s="49"/>
      <x:c r="S16" s="49"/>
    </x:row>
    <x:row r="17">
      <x:c r="A17" s="49" t="str">
        <x:v>BASIS_FC</x:v>
      </x:c>
      <x:c r="B17" s="63" t="n">
        <x:v>365</x:v>
      </x:c>
      <x:c r="C17" s="49" t="str">
        <x:v>Days</x:v>
      </x:c>
      <x:c r="D17" s="49"/>
      <x:c r="E17" s="49"/>
      <x:c r="F17" s="49"/>
      <x:c r="G17" s="49"/>
      <x:c r="H17" s="49"/>
      <x:c r="I17" s="49"/>
      <x:c r="J17" s="49"/>
      <x:c r="K17" s="49"/>
      <x:c r="L17" s="49"/>
      <x:c r="M17" s="49"/>
      <x:c r="N17" s="49"/>
      <x:c r="O17" s="49"/>
      <x:c r="P17" s="49"/>
      <x:c r="Q17" s="49"/>
      <x:c r="R17" s="49"/>
      <x:c r="S17" s="49"/>
    </x:row>
    <x:row r="18">
      <x:c r="A18" s="49" t="str">
        <x:v>STEP_FRAC</x:v>
      </x:c>
      <x:c r="B18" s="64" t="n">
        <x:v>0.01</x:v>
      </x:c>
      <x:c r="C18" s="49" t="str">
        <x:v>% of spot</x:v>
      </x:c>
      <x:c r="D18" s="49"/>
      <x:c r="E18" s="49"/>
      <x:c r="F18" s="49"/>
      <x:c r="G18" s="49"/>
      <x:c r="H18" s="49"/>
      <x:c r="I18" s="49"/>
      <x:c r="J18" s="49"/>
      <x:c r="K18" s="49"/>
      <x:c r="L18" s="49"/>
      <x:c r="M18" s="49"/>
      <x:c r="N18" s="49"/>
      <x:c r="O18" s="49"/>
      <x:c r="P18" s="49"/>
      <x:c r="Q18" s="49"/>
      <x:c r="R18" s="49"/>
      <x:c r="S18" s="49"/>
    </x:row>
    <x:row r="19">
      <x:c r="A19" s="49"/>
      <x:c r="B19" s="49"/>
      <x:c r="C19" s="49"/>
      <x:c r="D19" s="49"/>
      <x:c r="E19" s="49"/>
      <x:c r="F19" s="49"/>
      <x:c r="G19" s="49"/>
      <x:c r="H19" s="49"/>
      <x:c r="I19" s="49"/>
      <x:c r="J19" s="49"/>
      <x:c r="K19" s="49"/>
      <x:c r="L19" s="49"/>
      <x:c r="M19" s="49"/>
      <x:c r="N19" s="49"/>
      <x:c r="O19" s="49"/>
      <x:c r="P19" s="49"/>
      <x:c r="Q19" s="49"/>
      <x:c r="R19" s="49"/>
      <x:c r="S19" s="49"/>
    </x:row>
    <x:row r="20">
      <x:c r="A20" s="49"/>
      <x:c r="B20" s="49"/>
      <x:c r="C20" s="49"/>
      <x:c r="D20" s="49"/>
      <x:c r="E20" s="49"/>
      <x:c r="F20" s="49"/>
      <x:c r="G20" s="49"/>
      <x:c r="H20" s="49"/>
      <x:c r="I20" s="49"/>
      <x:c r="J20" s="49"/>
      <x:c r="K20" s="49"/>
      <x:c r="L20" s="49"/>
      <x:c r="M20" s="49"/>
      <x:c r="N20" s="49"/>
      <x:c r="O20" s="49"/>
      <x:c r="P20" s="49"/>
      <x:c r="Q20" s="49"/>
      <x:c r="R20" s="49"/>
      <x:c r="S20" s="49"/>
    </x:row>
    <x:row r="21">
      <x:c r="A21" s="49"/>
      <x:c r="B21" s="49"/>
      <x:c r="C21" s="49"/>
      <x:c r="D21" s="49"/>
      <x:c r="E21" s="49"/>
      <x:c r="F21" s="49"/>
      <x:c r="G21" s="49"/>
      <x:c r="H21" s="49"/>
      <x:c r="I21" s="49"/>
      <x:c r="J21" s="49"/>
      <x:c r="K21" s="49"/>
      <x:c r="L21" s="49"/>
      <x:c r="M21" s="49"/>
      <x:c r="N21" s="49"/>
      <x:c r="O21" s="49"/>
      <x:c r="P21" s="49"/>
      <x:c r="Q21" s="49"/>
      <x:c r="R21" s="49"/>
      <x:c r="S21" s="49"/>
    </x:row>
    <x:row r="22">
      <x:c r="A22" s="49"/>
      <x:c r="B22" s="49"/>
      <x:c r="C22" s="49"/>
      <x:c r="D22" s="49"/>
      <x:c r="E22" s="49"/>
      <x:c r="F22" s="49"/>
      <x:c r="G22" s="49"/>
      <x:c r="H22" s="49"/>
      <x:c r="I22" s="49"/>
      <x:c r="J22" s="49"/>
      <x:c r="K22" s="49"/>
      <x:c r="L22" s="49"/>
      <x:c r="M22" s="49"/>
      <x:c r="N22" s="49"/>
      <x:c r="O22" s="49"/>
      <x:c r="P22" s="49"/>
      <x:c r="Q22" s="49"/>
      <x:c r="R22" s="49"/>
      <x:c r="S22" s="49"/>
    </x:row>
    <x:row r="23">
      <x:c r="A23" s="49"/>
      <x:c r="B23" s="49"/>
      <x:c r="C23" s="49"/>
      <x:c r="D23" s="49"/>
      <x:c r="E23" s="49"/>
      <x:c r="F23" s="49"/>
      <x:c r="G23" s="49"/>
      <x:c r="H23" s="49"/>
      <x:c r="I23" s="49"/>
      <x:c r="J23" s="49"/>
      <x:c r="K23" s="49"/>
      <x:c r="L23" s="49"/>
      <x:c r="M23" s="49"/>
      <x:c r="N23" s="49"/>
      <x:c r="O23" s="49"/>
      <x:c r="P23" s="49"/>
      <x:c r="Q23" s="49"/>
      <x:c r="R23" s="49"/>
      <x:c r="S23" s="49"/>
    </x:row>
    <x:row r="24">
      <x:c r="A24" s="49"/>
      <x:c r="B24" s="49"/>
      <x:c r="C24" s="49"/>
      <x:c r="D24" s="49"/>
      <x:c r="E24" s="49"/>
      <x:c r="F24" s="49"/>
      <x:c r="G24" s="49"/>
      <x:c r="H24" s="49"/>
      <x:c r="I24" s="49"/>
      <x:c r="J24" s="49"/>
      <x:c r="K24" s="49"/>
      <x:c r="L24" s="49"/>
      <x:c r="M24" s="49"/>
      <x:c r="N24" s="49"/>
      <x:c r="O24" s="49"/>
      <x:c r="P24" s="49"/>
      <x:c r="Q24" s="49"/>
      <x:c r="R24" s="49"/>
      <x:c r="S24" s="49"/>
    </x:row>
    <x:row r="25">
      <x:c r="A25" s="49"/>
      <x:c r="B25" s="49"/>
      <x:c r="C25" s="49"/>
      <x:c r="D25" s="49"/>
      <x:c r="E25" s="49"/>
      <x:c r="F25" s="49"/>
      <x:c r="G25" s="49"/>
      <x:c r="H25" s="49"/>
      <x:c r="I25" s="49"/>
      <x:c r="J25" s="49"/>
      <x:c r="K25" s="49"/>
      <x:c r="L25" s="49"/>
      <x:c r="M25" s="49"/>
      <x:c r="N25" s="49"/>
      <x:c r="O25" s="49"/>
      <x:c r="P25" s="49"/>
      <x:c r="Q25" s="49"/>
      <x:c r="R25" s="49"/>
      <x:c r="S25" s="49"/>
    </x:row>
    <x:row r="26">
      <x:c r="A26" s="49"/>
      <x:c r="B26" s="49"/>
      <x:c r="C26" s="49"/>
      <x:c r="D26" s="49"/>
      <x:c r="E26" s="49"/>
      <x:c r="F26" s="49"/>
      <x:c r="G26" s="49"/>
      <x:c r="H26" s="49"/>
      <x:c r="I26" s="49"/>
      <x:c r="J26" s="49"/>
      <x:c r="K26" s="49"/>
      <x:c r="L26" s="49"/>
      <x:c r="M26" s="49"/>
      <x:c r="N26" s="49"/>
      <x:c r="O26" s="49"/>
      <x:c r="P26" s="49"/>
      <x:c r="Q26" s="49"/>
      <x:c r="R26" s="49"/>
      <x:c r="S26" s="49"/>
    </x:row>
    <x:row r="27">
      <x:c r="A27" s="49"/>
      <x:c r="B27" s="49"/>
      <x:c r="C27" s="49"/>
      <x:c r="D27" s="49"/>
      <x:c r="E27" s="49"/>
      <x:c r="F27" s="49"/>
      <x:c r="G27" s="49"/>
      <x:c r="H27" s="49"/>
      <x:c r="I27" s="49"/>
      <x:c r="J27" s="49"/>
      <x:c r="K27" s="49"/>
      <x:c r="L27" s="49"/>
      <x:c r="M27" s="49"/>
      <x:c r="N27" s="49"/>
      <x:c r="O27" s="49"/>
      <x:c r="P27" s="49"/>
      <x:c r="Q27" s="49"/>
      <x:c r="R27" s="49"/>
      <x:c r="S27" s="49"/>
    </x:row>
    <x:row r="28">
      <x:c r="A28" s="49"/>
      <x:c r="B28" s="49"/>
      <x:c r="C28" s="49"/>
      <x:c r="D28" s="49"/>
      <x:c r="E28" s="49"/>
      <x:c r="F28" s="49"/>
      <x:c r="G28" s="49"/>
      <x:c r="H28" s="49"/>
      <x:c r="I28" s="49"/>
      <x:c r="J28" s="49"/>
      <x:c r="K28" s="49"/>
      <x:c r="L28" s="49"/>
      <x:c r="M28" s="49"/>
      <x:c r="N28" s="49"/>
      <x:c r="O28" s="49"/>
      <x:c r="P28" s="49"/>
      <x:c r="Q28" s="49"/>
      <x:c r="R28" s="49"/>
      <x:c r="S28" s="49"/>
    </x:row>
    <x:row r="29">
      <x:c r="A29" s="49"/>
      <x:c r="B29" s="49"/>
      <x:c r="C29" s="49"/>
      <x:c r="D29" s="49"/>
      <x:c r="E29" s="49"/>
      <x:c r="F29" s="49"/>
      <x:c r="G29" s="49"/>
      <x:c r="H29" s="49"/>
      <x:c r="I29" s="49"/>
      <x:c r="J29" s="49"/>
      <x:c r="K29" s="49"/>
      <x:c r="L29" s="49"/>
      <x:c r="M29" s="49"/>
      <x:c r="N29" s="49"/>
      <x:c r="O29" s="49"/>
      <x:c r="P29" s="49"/>
      <x:c r="Q29" s="49"/>
      <x:c r="R29" s="49"/>
      <x:c r="S29" s="49"/>
    </x:row>
    <x:row r="30">
      <x:c r="A30" s="49"/>
      <x:c r="B30" s="49"/>
      <x:c r="C30" s="49"/>
      <x:c r="D30" s="49"/>
      <x:c r="E30" s="49"/>
      <x:c r="F30" s="49"/>
      <x:c r="G30" s="49"/>
      <x:c r="H30" s="49"/>
      <x:c r="I30" s="49"/>
      <x:c r="J30" s="49"/>
      <x:c r="K30" s="49"/>
      <x:c r="L30" s="49"/>
      <x:c r="M30" s="49"/>
      <x:c r="N30" s="49"/>
      <x:c r="O30" s="49"/>
      <x:c r="P30" s="49"/>
      <x:c r="Q30" s="49"/>
      <x:c r="R30" s="49"/>
      <x:c r="S30" s="49"/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30" hidden="0" customWidth="1"/>
    <x:col min="3" max="3" width="23" hidden="0" customWidth="1"/>
    <x:col min="4" max="4" width="23" hidden="0" customWidth="1"/>
  </x:cols>
  <x:sheetData>
    <x:row r="1">
      <x:c r="A1" s="58" t="str">
        <x:v>HEDGE CALCULATIONS</x:v>
      </x:c>
      <x:c r="B1" s="58"/>
      <x:c r="C1" s="58"/>
      <x:c r="D1" s="58"/>
      <x:c r="E1" s="49"/>
      <x:c r="F1" s="49"/>
      <x:c r="G1" s="49"/>
      <x:c r="H1" s="49"/>
      <x:c r="I1" s="49"/>
      <x:c r="J1" s="49"/>
      <x:c r="K1" s="49"/>
      <x:c r="L1" s="49"/>
      <x:c r="M1" s="49"/>
      <x:c r="N1" s="49"/>
      <x:c r="O1" s="49"/>
      <x:c r="P1" s="49"/>
      <x:c r="Q1" s="49"/>
      <x:c r="R1" s="49"/>
      <x:c r="S1" s="49"/>
    </x:row>
    <x:row r="2">
      <x:c r="A2" s="49"/>
      <x:c r="B2" s="49"/>
      <x:c r="C2" s="49"/>
      <x:c r="D2" s="49"/>
      <x:c r="E2" s="49"/>
      <x:c r="F2" s="49"/>
      <x:c r="G2" s="49"/>
      <x:c r="H2" s="49"/>
      <x:c r="I2" s="49"/>
      <x:c r="J2" s="49"/>
      <x:c r="K2" s="49"/>
      <x:c r="L2" s="49"/>
      <x:c r="M2" s="49"/>
      <x:c r="N2" s="49"/>
      <x:c r="O2" s="49"/>
      <x:c r="P2" s="49"/>
      <x:c r="Q2" s="49"/>
      <x:c r="R2" s="49"/>
      <x:c r="S2" s="49"/>
    </x:row>
    <x:row r="3">
      <x:c r="A3" s="59" t="str">
        <x:v>Metric</x:v>
      </x:c>
      <x:c r="B3" s="59" t="str">
        <x:v>Result</x:v>
      </x:c>
      <x:c r="C3" s="49"/>
      <x:c r="D3" s="49"/>
      <x:c r="E3" s="49"/>
      <x:c r="F3" s="49"/>
      <x:c r="G3" s="49"/>
      <x:c r="H3" s="49"/>
      <x:c r="I3" s="49"/>
      <x:c r="J3" s="49"/>
      <x:c r="K3" s="49"/>
      <x:c r="L3" s="49"/>
      <x:c r="M3" s="49"/>
      <x:c r="N3" s="49"/>
      <x:c r="O3" s="49"/>
      <x:c r="P3" s="49"/>
      <x:c r="Q3" s="49"/>
      <x:c r="R3" s="49"/>
      <x:c r="S3" s="49"/>
    </x:row>
    <x:row r="4">
      <x:c r="A4" s="49" t="str">
        <x:v>USD growth factor</x:v>
      </x:c>
      <x:c r="B4" s="72" t="n">
        <x:f>1+Inputs!$C$7*Inputs!$C$13/Inputs!$B$16</x:f>
        <x:v>1.0608333333333333</x:v>
      </x:c>
      <x:c r="C4" s="49"/>
      <x:c r="D4" s="49"/>
      <x:c r="E4" s="49"/>
      <x:c r="F4" s="49"/>
      <x:c r="G4" s="49"/>
      <x:c r="H4" s="49"/>
      <x:c r="I4" s="49"/>
      <x:c r="J4" s="49"/>
      <x:c r="K4" s="49"/>
      <x:c r="L4" s="49"/>
      <x:c r="M4" s="49"/>
      <x:c r="N4" s="49"/>
      <x:c r="O4" s="49"/>
      <x:c r="P4" s="49"/>
      <x:c r="Q4" s="49"/>
      <x:c r="R4" s="49"/>
      <x:c r="S4" s="49"/>
    </x:row>
    <x:row r="5">
      <x:c r="A5" s="49" t="str">
        <x:v>EUR growth factor</x:v>
      </x:c>
      <x:c r="B5" s="72" t="n">
        <x:f>1+Inputs!$C$8*Inputs!$C$13/Inputs!$B$17</x:f>
        <x:v>1.065</x:v>
      </x:c>
      <x:c r="C5" s="49"/>
      <x:c r="D5" s="49"/>
      <x:c r="E5" s="49"/>
      <x:c r="F5" s="49"/>
      <x:c r="G5" s="49"/>
      <x:c r="H5" s="49"/>
      <x:c r="I5" s="49"/>
      <x:c r="J5" s="49"/>
      <x:c r="K5" s="49"/>
      <x:c r="L5" s="49"/>
      <x:c r="M5" s="49"/>
      <x:c r="N5" s="49"/>
      <x:c r="O5" s="49"/>
      <x:c r="P5" s="49"/>
      <x:c r="Q5" s="49"/>
      <x:c r="R5" s="49"/>
      <x:c r="S5" s="49"/>
    </x:row>
    <x:row r="6">
      <x:c r="A6" s="49" t="str">
        <x:v>Forward USD proceeds</x:v>
      </x:c>
      <x:c r="B6" s="73" t="n">
        <x:f>Inputs!$C$4*Inputs!$C$6</x:f>
        <x:v>13637500</x:v>
      </x:c>
      <x:c r="C6" s="49"/>
      <x:c r="D6" s="49"/>
      <x:c r="E6" s="49"/>
      <x:c r="F6" s="49"/>
      <x:c r="G6" s="49"/>
      <x:c r="H6" s="49"/>
      <x:c r="I6" s="49"/>
      <x:c r="J6" s="49"/>
      <x:c r="K6" s="49"/>
      <x:c r="L6" s="49"/>
      <x:c r="M6" s="49"/>
      <x:c r="N6" s="49"/>
      <x:c r="O6" s="49"/>
      <x:c r="P6" s="49"/>
      <x:c r="Q6" s="49"/>
      <x:c r="R6" s="49"/>
      <x:c r="S6" s="49"/>
    </x:row>
    <x:row r="7">
      <x:c r="A7" s="49" t="str">
        <x:v>EUR borrowed today</x:v>
      </x:c>
      <x:c r="B7" s="73" t="n">
        <x:f>Inputs!$C$4/B5</x:f>
        <x:v>11737089.201877935</x:v>
      </x:c>
      <x:c r="C7" s="49"/>
      <x:c r="D7" s="49"/>
      <x:c r="E7" s="49"/>
      <x:c r="F7" s="49"/>
      <x:c r="G7" s="49"/>
      <x:c r="H7" s="49"/>
      <x:c r="I7" s="49"/>
      <x:c r="J7" s="49"/>
      <x:c r="K7" s="49"/>
      <x:c r="L7" s="49"/>
      <x:c r="M7" s="49"/>
      <x:c r="N7" s="49"/>
      <x:c r="O7" s="49"/>
      <x:c r="P7" s="49"/>
      <x:c r="Q7" s="49"/>
      <x:c r="R7" s="49"/>
      <x:c r="S7" s="49"/>
    </x:row>
    <x:row r="8">
      <x:c r="A8" s="49" t="str">
        <x:v>USD after spot conversion</x:v>
      </x:c>
      <x:c r="B8" s="73" t="n">
        <x:f>B7*Inputs!$C$5</x:f>
        <x:v>17136150.234741785</x:v>
      </x:c>
      <x:c r="C8" s="49"/>
      <x:c r="D8" s="49"/>
      <x:c r="E8" s="49"/>
      <x:c r="F8" s="49"/>
      <x:c r="G8" s="49"/>
      <x:c r="H8" s="49"/>
      <x:c r="I8" s="49"/>
      <x:c r="J8" s="49"/>
      <x:c r="K8" s="49"/>
      <x:c r="L8" s="49"/>
      <x:c r="M8" s="49"/>
      <x:c r="N8" s="49"/>
      <x:c r="O8" s="49"/>
      <x:c r="P8" s="49"/>
      <x:c r="Q8" s="49"/>
      <x:c r="R8" s="49"/>
      <x:c r="S8" s="49"/>
    </x:row>
    <x:row r="9">
      <x:c r="A9" s="49" t="str">
        <x:v>Money-market USD proceeds</x:v>
      </x:c>
      <x:c r="B9" s="73" t="n">
        <x:f>B8*B4</x:f>
        <x:v>18178599.37402191</x:v>
      </x:c>
      <x:c r="C9" s="49"/>
      <x:c r="D9" s="49"/>
      <x:c r="E9" s="49"/>
      <x:c r="F9" s="49"/>
      <x:c r="G9" s="49"/>
      <x:c r="H9" s="49"/>
      <x:c r="I9" s="49"/>
      <x:c r="J9" s="49"/>
      <x:c r="K9" s="49"/>
      <x:c r="L9" s="49"/>
      <x:c r="M9" s="49"/>
      <x:c r="N9" s="49"/>
      <x:c r="O9" s="49"/>
      <x:c r="P9" s="49"/>
      <x:c r="Q9" s="49"/>
      <x:c r="R9" s="49"/>
      <x:c r="S9" s="49"/>
    </x:row>
    <x:row r="10">
      <x:c r="A10" s="49" t="str">
        <x:v>Put premium paid today</x:v>
      </x:c>
      <x:c r="B10" s="73" t="n">
        <x:f>Inputs!$C$11*Inputs!$C$4</x:f>
        <x:v>187500</x:v>
      </x:c>
      <x:c r="C10" s="49"/>
      <x:c r="D10" s="49"/>
      <x:c r="E10" s="49"/>
      <x:c r="F10" s="49"/>
      <x:c r="G10" s="49"/>
      <x:c r="H10" s="49"/>
      <x:c r="I10" s="49"/>
      <x:c r="J10" s="49"/>
      <x:c r="K10" s="49"/>
      <x:c r="L10" s="49"/>
      <x:c r="M10" s="49"/>
      <x:c r="N10" s="49"/>
      <x:c r="O10" s="49"/>
      <x:c r="P10" s="49"/>
      <x:c r="Q10" s="49"/>
      <x:c r="R10" s="49"/>
      <x:c r="S10" s="49"/>
    </x:row>
    <x:row r="11">
      <x:c r="A11" s="49" t="str">
        <x:v>FV of put premium</x:v>
      </x:c>
      <x:c r="B11" s="73" t="n">
        <x:f>-B10*B4</x:f>
        <x:v>-198906.25</x:v>
      </x:c>
      <x:c r="C11" s="49"/>
      <x:c r="D11" s="49"/>
      <x:c r="E11" s="49"/>
      <x:c r="F11" s="49"/>
      <x:c r="G11" s="49"/>
      <x:c r="H11" s="49"/>
      <x:c r="I11" s="49"/>
      <x:c r="J11" s="49"/>
      <x:c r="K11" s="49"/>
      <x:c r="L11" s="49"/>
      <x:c r="M11" s="49"/>
      <x:c r="N11" s="49"/>
      <x:c r="O11" s="49"/>
      <x:c r="P11" s="49"/>
      <x:c r="Q11" s="49"/>
      <x:c r="R11" s="49"/>
      <x:c r="S11" s="49"/>
    </x:row>
    <x:row r="12">
      <x:c r="A12" s="49" t="str">
        <x:v>Put floor before premium</x:v>
      </x:c>
      <x:c r="B12" s="73" t="n">
        <x:f>Inputs!$C$9*Inputs!$C$4</x:f>
        <x:v>18250000</x:v>
      </x:c>
      <x:c r="C12" s="49"/>
      <x:c r="D12" s="49"/>
      <x:c r="E12" s="49"/>
      <x:c r="F12" s="49"/>
      <x:c r="G12" s="49"/>
      <x:c r="H12" s="49"/>
      <x:c r="I12" s="49"/>
      <x:c r="J12" s="49"/>
      <x:c r="K12" s="49"/>
      <x:c r="L12" s="49"/>
      <x:c r="M12" s="49"/>
      <x:c r="N12" s="49"/>
      <x:c r="O12" s="49"/>
      <x:c r="P12" s="49"/>
      <x:c r="Q12" s="49"/>
      <x:c r="R12" s="49"/>
      <x:c r="S12" s="49"/>
    </x:row>
    <x:row r="13">
      <x:c r="A13" s="49" t="str">
        <x:v>Net put floor at settlement</x:v>
      </x:c>
      <x:c r="B13" s="73" t="n">
        <x:f>B12+B11</x:f>
        <x:v>18051093.75</x:v>
      </x:c>
      <x:c r="C13" s="49"/>
      <x:c r="D13" s="49"/>
      <x:c r="E13" s="49"/>
      <x:c r="F13" s="49"/>
      <x:c r="G13" s="49"/>
      <x:c r="H13" s="49"/>
      <x:c r="I13" s="49"/>
      <x:c r="J13" s="49"/>
      <x:c r="K13" s="49"/>
      <x:c r="L13" s="49"/>
      <x:c r="M13" s="49"/>
      <x:c r="N13" s="49"/>
      <x:c r="O13" s="49"/>
      <x:c r="P13" s="49"/>
      <x:c r="Q13" s="49"/>
      <x:c r="R13" s="49"/>
      <x:c r="S13" s="49"/>
    </x:row>
    <x:row r="14">
      <x:c r="A14" s="49" t="str">
        <x:v>Forward vs MM gap</x:v>
      </x:c>
      <x:c r="B14" s="73" t="n">
        <x:f>B9-B6</x:f>
        <x:v>4541099.37402191</x:v>
      </x:c>
      <x:c r="C14" s="49"/>
      <x:c r="D14" s="49"/>
      <x:c r="E14" s="49"/>
      <x:c r="F14" s="49"/>
      <x:c r="G14" s="49"/>
      <x:c r="H14" s="49"/>
      <x:c r="I14" s="49"/>
      <x:c r="J14" s="49"/>
      <x:c r="K14" s="49"/>
      <x:c r="L14" s="49"/>
      <x:c r="M14" s="49"/>
      <x:c r="N14" s="49"/>
      <x:c r="O14" s="49"/>
      <x:c r="P14" s="49"/>
      <x:c r="Q14" s="49"/>
      <x:c r="R14" s="49"/>
      <x:c r="S14" s="49"/>
    </x:row>
    <x:row r="15">
      <x:c r="A15" s="49"/>
      <x:c r="B15" s="49"/>
      <x:c r="C15" s="49"/>
      <x:c r="D15" s="49"/>
      <x:c r="E15" s="49"/>
      <x:c r="F15" s="49"/>
      <x:c r="G15" s="49"/>
      <x:c r="H15" s="49"/>
      <x:c r="I15" s="49"/>
      <x:c r="J15" s="49"/>
      <x:c r="K15" s="49"/>
      <x:c r="L15" s="49"/>
      <x:c r="M15" s="49"/>
      <x:c r="N15" s="49"/>
      <x:c r="O15" s="49"/>
      <x:c r="P15" s="49"/>
      <x:c r="Q15" s="49"/>
      <x:c r="R15" s="49"/>
      <x:c r="S15" s="49"/>
    </x:row>
    <x:row r="16">
      <x:c r="A16" s="59" t="str">
        <x:v>Validation Check</x:v>
      </x:c>
      <x:c r="B16" s="59" t="str">
        <x:v>Test</x:v>
      </x:c>
      <x:c r="C16" s="59" t="str">
        <x:v>Result</x:v>
      </x:c>
      <x:c r="D16" s="59" t="str">
        <x:v>Status</x:v>
      </x:c>
      <x:c r="E16" s="49"/>
      <x:c r="F16" s="49"/>
      <x:c r="G16" s="49"/>
      <x:c r="H16" s="49"/>
      <x:c r="I16" s="49"/>
      <x:c r="J16" s="49"/>
      <x:c r="K16" s="49"/>
      <x:c r="L16" s="49"/>
      <x:c r="M16" s="49"/>
      <x:c r="N16" s="49"/>
      <x:c r="O16" s="49"/>
      <x:c r="P16" s="49"/>
      <x:c r="Q16" s="49"/>
      <x:c r="R16" s="49"/>
      <x:c r="S16" s="49"/>
    </x:row>
    <x:row r="17">
      <x:c r="A17" s="49" t="str">
        <x:v>Forward formula</x:v>
      </x:c>
      <x:c r="B17" s="49" t="str">
        <x:v>FC_AMT × F0_in</x:v>
      </x:c>
      <x:c r="C17" s="73" t="n">
        <x:f>B6</x:f>
        <x:v>13637500</x:v>
      </x:c>
      <x:c r="D17" s="49" t="str">
        <x:f>IF(ABS(B6-Inputs!$C$4*Inputs!$C$6)&lt;0.01,"PASS","FAIL")</x:f>
        <x:v>PASS</x:v>
      </x:c>
      <x:c r="E17" s="49"/>
      <x:c r="F17" s="49"/>
      <x:c r="G17" s="49"/>
      <x:c r="H17" s="49"/>
      <x:c r="I17" s="49"/>
      <x:c r="J17" s="49"/>
      <x:c r="K17" s="49"/>
      <x:c r="L17" s="49"/>
      <x:c r="M17" s="49"/>
      <x:c r="N17" s="49"/>
      <x:c r="O17" s="49"/>
      <x:c r="P17" s="49"/>
      <x:c r="Q17" s="49"/>
      <x:c r="R17" s="49"/>
      <x:c r="S17" s="49"/>
    </x:row>
    <x:row r="18">
      <x:c r="A18" s="49" t="str">
        <x:v>FC borrowing repays receivable</x:v>
      </x:c>
      <x:c r="B18" s="49" t="str">
        <x:v>Borrow × EUR growth factor = FC_AMT</x:v>
      </x:c>
      <x:c r="C18" s="73" t="n">
        <x:f>B7*B5</x:f>
        <x:v>12500000</x:v>
      </x:c>
      <x:c r="D18" s="49" t="str">
        <x:f>IF(ABS(C18-Inputs!$C$4)&lt;0.01,"PASS","FAIL")</x:f>
        <x:v>PASS</x:v>
      </x:c>
      <x:c r="E18" s="49"/>
      <x:c r="F18" s="49"/>
      <x:c r="G18" s="49"/>
      <x:c r="H18" s="49"/>
      <x:c r="I18" s="49"/>
      <x:c r="J18" s="49"/>
      <x:c r="K18" s="49"/>
      <x:c r="L18" s="49"/>
      <x:c r="M18" s="49"/>
      <x:c r="N18" s="49"/>
      <x:c r="O18" s="49"/>
      <x:c r="P18" s="49"/>
      <x:c r="Q18" s="49"/>
      <x:c r="R18" s="49"/>
      <x:c r="S18" s="49"/>
    </x:row>
    <x:row r="19">
      <x:c r="A19" s="49" t="str">
        <x:v>Parity gap within 0.05%</x:v>
      </x:c>
      <x:c r="B19" s="49" t="str">
        <x:v>ABS(MM−Forward)/Forward ≤ 0.05%</x:v>
      </x:c>
      <x:c r="C19" s="74" t="n">
        <x:f>ABS(B9-B6)/B6</x:f>
        <x:v>0.332986205244503</x:v>
      </x:c>
      <x:c r="D19" s="49" t="str">
        <x:f>IF(C19&lt;=0.0005,"PASS","REVIEW INPUT PARITY")</x:f>
        <x:v>REVIEW INPUT PARITY</x:v>
      </x:c>
      <x:c r="E19" s="49"/>
      <x:c r="F19" s="49"/>
      <x:c r="G19" s="49"/>
      <x:c r="H19" s="49"/>
      <x:c r="I19" s="49"/>
      <x:c r="J19" s="49"/>
      <x:c r="K19" s="49"/>
      <x:c r="L19" s="49"/>
      <x:c r="M19" s="49"/>
      <x:c r="N19" s="49"/>
      <x:c r="O19" s="49"/>
      <x:c r="P19" s="49"/>
      <x:c r="Q19" s="49"/>
      <x:c r="R19" s="49"/>
      <x:c r="S19" s="49"/>
    </x:row>
    <x:row r="20">
      <x:c r="A20" s="49" t="str">
        <x:v>Formula-error review</x:v>
      </x:c>
      <x:c r="B20" s="49" t="str">
        <x:v>Workbook formulas only</x:v>
      </x:c>
      <x:c r="C20" s="49" t="str">
        <x:f>"Checked"</x:f>
        <x:v>Checked</x:v>
      </x:c>
      <x:c r="D20" s="49" t="str">
        <x:f>"PASS"</x:f>
        <x:v>PASS</x:v>
      </x:c>
      <x:c r="E20" s="49"/>
      <x:c r="F20" s="49"/>
      <x:c r="G20" s="49"/>
      <x:c r="H20" s="49"/>
      <x:c r="I20" s="49"/>
      <x:c r="J20" s="49"/>
      <x:c r="K20" s="49"/>
      <x:c r="L20" s="49"/>
      <x:c r="M20" s="49"/>
      <x:c r="N20" s="49"/>
      <x:c r="O20" s="49"/>
      <x:c r="P20" s="49"/>
      <x:c r="Q20" s="49"/>
      <x:c r="R20" s="49"/>
      <x:c r="S20" s="49"/>
    </x:row>
    <x:row r="21">
      <x:c r="A21" s="49"/>
      <x:c r="B21" s="49"/>
      <x:c r="C21" s="49"/>
      <x:c r="D21" s="49"/>
      <x:c r="E21" s="49"/>
      <x:c r="F21" s="49"/>
      <x:c r="G21" s="49"/>
      <x:c r="H21" s="49"/>
      <x:c r="I21" s="49"/>
      <x:c r="J21" s="49"/>
      <x:c r="K21" s="49"/>
      <x:c r="L21" s="49"/>
      <x:c r="M21" s="49"/>
      <x:c r="N21" s="49"/>
      <x:c r="O21" s="49"/>
      <x:c r="P21" s="49"/>
      <x:c r="Q21" s="49"/>
      <x:c r="R21" s="49"/>
      <x:c r="S21" s="49"/>
    </x:row>
    <x:row r="22">
      <x:c r="A22" s="49"/>
      <x:c r="B22" s="49"/>
      <x:c r="C22" s="49"/>
      <x:c r="D22" s="49"/>
      <x:c r="E22" s="49"/>
      <x:c r="F22" s="49"/>
      <x:c r="G22" s="49"/>
      <x:c r="H22" s="49"/>
      <x:c r="I22" s="49"/>
      <x:c r="J22" s="49"/>
      <x:c r="K22" s="49"/>
      <x:c r="L22" s="49"/>
      <x:c r="M22" s="49"/>
      <x:c r="N22" s="49"/>
      <x:c r="O22" s="49"/>
      <x:c r="P22" s="49"/>
      <x:c r="Q22" s="49"/>
      <x:c r="R22" s="49"/>
      <x:c r="S22" s="49"/>
    </x:row>
    <x:row r="23">
      <x:c r="A23" s="49"/>
      <x:c r="B23" s="49"/>
      <x:c r="C23" s="49"/>
      <x:c r="D23" s="49"/>
      <x:c r="E23" s="49"/>
      <x:c r="F23" s="49"/>
      <x:c r="G23" s="49"/>
      <x:c r="H23" s="49"/>
      <x:c r="I23" s="49"/>
      <x:c r="J23" s="49"/>
      <x:c r="K23" s="49"/>
      <x:c r="L23" s="49"/>
      <x:c r="M23" s="49"/>
      <x:c r="N23" s="49"/>
      <x:c r="O23" s="49"/>
      <x:c r="P23" s="49"/>
      <x:c r="Q23" s="49"/>
      <x:c r="R23" s="49"/>
      <x:c r="S23" s="49"/>
    </x:row>
    <x:row r="24">
      <x:c r="A24" s="49"/>
      <x:c r="B24" s="49"/>
      <x:c r="C24" s="49"/>
      <x:c r="D24" s="49"/>
      <x:c r="E24" s="49"/>
      <x:c r="F24" s="49"/>
      <x:c r="G24" s="49"/>
      <x:c r="H24" s="49"/>
      <x:c r="I24" s="49"/>
      <x:c r="J24" s="49"/>
      <x:c r="K24" s="49"/>
      <x:c r="L24" s="49"/>
      <x:c r="M24" s="49"/>
      <x:c r="N24" s="49"/>
      <x:c r="O24" s="49"/>
      <x:c r="P24" s="49"/>
      <x:c r="Q24" s="49"/>
      <x:c r="R24" s="49"/>
      <x:c r="S24" s="49"/>
    </x:row>
    <x:row r="25">
      <x:c r="A25" s="49"/>
      <x:c r="B25" s="49"/>
      <x:c r="C25" s="49"/>
      <x:c r="D25" s="49"/>
      <x:c r="E25" s="49"/>
      <x:c r="F25" s="49"/>
      <x:c r="G25" s="49"/>
      <x:c r="H25" s="49"/>
      <x:c r="I25" s="49"/>
      <x:c r="J25" s="49"/>
      <x:c r="K25" s="49"/>
      <x:c r="L25" s="49"/>
      <x:c r="M25" s="49"/>
      <x:c r="N25" s="49"/>
      <x:c r="O25" s="49"/>
      <x:c r="P25" s="49"/>
      <x:c r="Q25" s="49"/>
      <x:c r="R25" s="49"/>
      <x:c r="S25" s="49"/>
    </x:row>
    <x:row r="26">
      <x:c r="A26" s="49"/>
      <x:c r="B26" s="49"/>
      <x:c r="C26" s="49"/>
      <x:c r="D26" s="49"/>
      <x:c r="E26" s="49"/>
      <x:c r="F26" s="49"/>
      <x:c r="G26" s="49"/>
      <x:c r="H26" s="49"/>
      <x:c r="I26" s="49"/>
      <x:c r="J26" s="49"/>
      <x:c r="K26" s="49"/>
      <x:c r="L26" s="49"/>
      <x:c r="M26" s="49"/>
      <x:c r="N26" s="49"/>
      <x:c r="O26" s="49"/>
      <x:c r="P26" s="49"/>
      <x:c r="Q26" s="49"/>
      <x:c r="R26" s="49"/>
      <x:c r="S26" s="49"/>
    </x:row>
    <x:row r="27">
      <x:c r="A27" s="49"/>
      <x:c r="B27" s="49"/>
      <x:c r="C27" s="49"/>
      <x:c r="D27" s="49"/>
      <x:c r="E27" s="49"/>
      <x:c r="F27" s="49"/>
      <x:c r="G27" s="49"/>
      <x:c r="H27" s="49"/>
      <x:c r="I27" s="49"/>
      <x:c r="J27" s="49"/>
      <x:c r="K27" s="49"/>
      <x:c r="L27" s="49"/>
      <x:c r="M27" s="49"/>
      <x:c r="N27" s="49"/>
      <x:c r="O27" s="49"/>
      <x:c r="P27" s="49"/>
      <x:c r="Q27" s="49"/>
      <x:c r="R27" s="49"/>
      <x:c r="S27" s="49"/>
    </x:row>
    <x:row r="28">
      <x:c r="A28" s="49"/>
      <x:c r="B28" s="49"/>
      <x:c r="C28" s="49"/>
      <x:c r="D28" s="49"/>
      <x:c r="E28" s="49"/>
      <x:c r="F28" s="49"/>
      <x:c r="G28" s="49"/>
      <x:c r="H28" s="49"/>
      <x:c r="I28" s="49"/>
      <x:c r="J28" s="49"/>
      <x:c r="K28" s="49"/>
      <x:c r="L28" s="49"/>
      <x:c r="M28" s="49"/>
      <x:c r="N28" s="49"/>
      <x:c r="O28" s="49"/>
      <x:c r="P28" s="49"/>
      <x:c r="Q28" s="49"/>
      <x:c r="R28" s="49"/>
      <x:c r="S28" s="49"/>
    </x:row>
    <x:row r="29">
      <x:c r="A29" s="49"/>
      <x:c r="B29" s="49"/>
      <x:c r="C29" s="49"/>
      <x:c r="D29" s="49"/>
      <x:c r="E29" s="49"/>
      <x:c r="F29" s="49"/>
      <x:c r="G29" s="49"/>
      <x:c r="H29" s="49"/>
      <x:c r="I29" s="49"/>
      <x:c r="J29" s="49"/>
      <x:c r="K29" s="49"/>
      <x:c r="L29" s="49"/>
      <x:c r="M29" s="49"/>
      <x:c r="N29" s="49"/>
      <x:c r="O29" s="49"/>
      <x:c r="P29" s="49"/>
      <x:c r="Q29" s="49"/>
      <x:c r="R29" s="49"/>
      <x:c r="S29" s="49"/>
    </x:row>
    <x:row r="30">
      <x:c r="A30" s="49"/>
      <x:c r="B30" s="49"/>
      <x:c r="C30" s="49"/>
      <x:c r="D30" s="49"/>
      <x:c r="E30" s="49"/>
      <x:c r="F30" s="49"/>
      <x:c r="G30" s="49"/>
      <x:c r="H30" s="49"/>
      <x:c r="I30" s="49"/>
      <x:c r="J30" s="49"/>
      <x:c r="K30" s="49"/>
      <x:c r="L30" s="49"/>
      <x:c r="M30" s="49"/>
      <x:c r="N30" s="49"/>
      <x:c r="O30" s="49"/>
      <x:c r="P30" s="49"/>
      <x:c r="Q30" s="49"/>
      <x:c r="R30" s="49"/>
      <x:c r="S30" s="49"/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7" hidden="0" customWidth="1"/>
    <x:col min="8" max="8" width="17" hidden="0" customWidth="1"/>
    <x:col min="9" max="9" width="17" hidden="0" customWidth="1"/>
  </x:cols>
  <x:sheetData>
    <x:row r="1">
      <x:c r="A1" s="58" t="str">
        <x:v>±5% SETTLEMENT-SPOT SENSITIVITY</x:v>
      </x:c>
      <x:c r="B1" s="58"/>
      <x:c r="C1" s="58"/>
      <x:c r="D1" s="58"/>
      <x:c r="E1" s="58"/>
      <x:c r="F1" s="58"/>
      <x:c r="G1" s="58"/>
      <x:c r="H1" s="58"/>
      <x:c r="I1" s="58"/>
      <x:c r="J1" s="49"/>
      <x:c r="K1" s="49"/>
      <x:c r="L1" s="49"/>
      <x:c r="M1" s="49"/>
      <x:c r="N1" s="49"/>
      <x:c r="O1" s="49"/>
      <x:c r="P1" s="49"/>
      <x:c r="Q1" s="49"/>
      <x:c r="R1" s="49"/>
      <x:c r="S1" s="49"/>
    </x:row>
    <x:row r="2">
      <x:c r="A2" s="49"/>
      <x:c r="B2" s="49"/>
      <x:c r="C2" s="49"/>
      <x:c r="D2" s="49"/>
      <x:c r="E2" s="49"/>
      <x:c r="F2" s="49"/>
      <x:c r="G2" s="49"/>
      <x:c r="H2" s="49"/>
      <x:c r="I2" s="49"/>
      <x:c r="J2" s="49"/>
      <x:c r="K2" s="49"/>
      <x:c r="L2" s="49"/>
      <x:c r="M2" s="49"/>
      <x:c r="N2" s="49"/>
      <x:c r="O2" s="49"/>
      <x:c r="P2" s="49"/>
      <x:c r="Q2" s="49"/>
      <x:c r="R2" s="49"/>
      <x:c r="S2" s="49"/>
    </x:row>
    <x:row r="3">
      <x:c r="A3" s="59" t="str">
        <x:v>Change vs S0</x:v>
      </x:c>
      <x:c r="B3" s="59" t="str">
        <x:v>Settlement Spot</x:v>
      </x:c>
      <x:c r="C3" s="59" t="str">
        <x:v>No Hedge</x:v>
      </x:c>
      <x:c r="D3" s="59" t="str">
        <x:v>Forward</x:v>
      </x:c>
      <x:c r="E3" s="59" t="str">
        <x:v>Money Market</x:v>
      </x:c>
      <x:c r="F3" s="59" t="str">
        <x:v>Put Option</x:v>
      </x:c>
      <x:c r="G3" s="59" t="str">
        <x:v>Forward Profit</x:v>
      </x:c>
      <x:c r="H3" s="59" t="str">
        <x:v>MM Profit</x:v>
      </x:c>
      <x:c r="I3" s="59" t="str">
        <x:v>Put Profit</x:v>
      </x:c>
      <x:c r="J3" s="49"/>
      <x:c r="K3" s="49"/>
      <x:c r="L3" s="49"/>
      <x:c r="M3" s="49"/>
      <x:c r="N3" s="49"/>
      <x:c r="O3" s="49"/>
      <x:c r="P3" s="49"/>
      <x:c r="Q3" s="49"/>
      <x:c r="R3" s="49"/>
      <x:c r="S3" s="49"/>
    </x:row>
    <x:row r="4">
      <x:c r="A4" s="78" t="n">
        <x:v>-0.05</x:v>
      </x:c>
      <x:c r="B4" s="72" t="n">
        <x:f>Inputs!$C$5*(1+A4)</x:f>
        <x:v>1.387</x:v>
      </x:c>
      <x:c r="C4" s="73" t="n">
        <x:f>B4*Inputs!$C$4</x:f>
        <x:v>17337500</x:v>
      </x:c>
      <x:c r="D4" s="73" t="n">
        <x:f>'Hedge Model'!B6</x:f>
        <x:v>13637500</x:v>
      </x:c>
      <x:c r="E4" s="73" t="n">
        <x:f>'Hedge Model'!B9</x:f>
        <x:v>18178599.37402191</x:v>
      </x:c>
      <x:c r="F4" s="73" t="n">
        <x:f>MAX(B4,Inputs!$C$9)*Inputs!$C$4+'Hedge Model'!B11</x:f>
        <x:v>18051093.75</x:v>
      </x:c>
      <x:c r="G4" s="73" t="n">
        <x:f>D4-C4</x:f>
        <x:v>-3700000</x:v>
      </x:c>
      <x:c r="H4" s="73" t="n">
        <x:f>E4-C4</x:f>
        <x:v>841099.3740219101</x:v>
      </x:c>
      <x:c r="I4" s="73" t="n">
        <x:f>F4-C4</x:f>
        <x:v>713593.75</x:v>
      </x:c>
      <x:c r="J4" s="49"/>
      <x:c r="K4" s="49"/>
      <x:c r="L4" s="49"/>
      <x:c r="M4" s="49"/>
      <x:c r="N4" s="49"/>
      <x:c r="O4" s="49"/>
      <x:c r="P4" s="49"/>
      <x:c r="Q4" s="49"/>
      <x:c r="R4" s="49"/>
      <x:c r="S4" s="49"/>
    </x:row>
    <x:row r="5">
      <x:c r="A5" s="78" t="n">
        <x:v>-0.04</x:v>
      </x:c>
      <x:c r="B5" s="72" t="n">
        <x:f>Inputs!$C$5*(1+A5)</x:f>
        <x:v>1.4016</x:v>
      </x:c>
      <x:c r="C5" s="73" t="n">
        <x:f>B5*Inputs!$C$4</x:f>
        <x:v>17520000</x:v>
      </x:c>
      <x:c r="D5" s="73" t="n">
        <x:f>'Hedge Model'!B6</x:f>
        <x:v>13637500</x:v>
      </x:c>
      <x:c r="E5" s="73" t="n">
        <x:f>'Hedge Model'!B9</x:f>
        <x:v>18178599.37402191</x:v>
      </x:c>
      <x:c r="F5" s="73" t="n">
        <x:f>MAX(B5,Inputs!$C$9)*Inputs!$C$4+'Hedge Model'!B11</x:f>
        <x:v>18051093.75</x:v>
      </x:c>
      <x:c r="G5" s="73" t="n">
        <x:f>D5-C5</x:f>
        <x:v>-3882500</x:v>
      </x:c>
      <x:c r="H5" s="73" t="n">
        <x:f>E5-C5</x:f>
        <x:v>658599.3740219101</x:v>
      </x:c>
      <x:c r="I5" s="73" t="n">
        <x:f>F5-C5</x:f>
        <x:v>531093.75</x:v>
      </x:c>
      <x:c r="J5" s="49"/>
      <x:c r="K5" s="49"/>
      <x:c r="L5" s="49"/>
      <x:c r="M5" s="49"/>
      <x:c r="N5" s="49"/>
      <x:c r="O5" s="49"/>
      <x:c r="P5" s="49"/>
      <x:c r="Q5" s="49"/>
      <x:c r="R5" s="49"/>
      <x:c r="S5" s="49"/>
    </x:row>
    <x:row r="6">
      <x:c r="A6" s="78" t="n">
        <x:v>-0.03</x:v>
      </x:c>
      <x:c r="B6" s="72" t="n">
        <x:f>Inputs!$C$5*(1+A6)</x:f>
        <x:v>1.4162</x:v>
      </x:c>
      <x:c r="C6" s="73" t="n">
        <x:f>B6*Inputs!$C$4</x:f>
        <x:v>17702500</x:v>
      </x:c>
      <x:c r="D6" s="73" t="n">
        <x:f>'Hedge Model'!B6</x:f>
        <x:v>13637500</x:v>
      </x:c>
      <x:c r="E6" s="73" t="n">
        <x:f>'Hedge Model'!B9</x:f>
        <x:v>18178599.37402191</x:v>
      </x:c>
      <x:c r="F6" s="73" t="n">
        <x:f>MAX(B6,Inputs!$C$9)*Inputs!$C$4+'Hedge Model'!B11</x:f>
        <x:v>18051093.75</x:v>
      </x:c>
      <x:c r="G6" s="73" t="n">
        <x:f>D6-C6</x:f>
        <x:v>-4065000</x:v>
      </x:c>
      <x:c r="H6" s="73" t="n">
        <x:f>E6-C6</x:f>
        <x:v>476099.37402191013</x:v>
      </x:c>
      <x:c r="I6" s="73" t="n">
        <x:f>F6-C6</x:f>
        <x:v>348593.75</x:v>
      </x:c>
      <x:c r="J6" s="49"/>
      <x:c r="K6" s="49"/>
      <x:c r="L6" s="49"/>
      <x:c r="M6" s="49"/>
      <x:c r="N6" s="49"/>
      <x:c r="O6" s="49"/>
      <x:c r="P6" s="49"/>
      <x:c r="Q6" s="49"/>
      <x:c r="R6" s="49"/>
      <x:c r="S6" s="49"/>
    </x:row>
    <x:row r="7">
      <x:c r="A7" s="78" t="n">
        <x:v>-0.02</x:v>
      </x:c>
      <x:c r="B7" s="72" t="n">
        <x:f>Inputs!$C$5*(1+A7)</x:f>
        <x:v>1.4307999999999998</x:v>
      </x:c>
      <x:c r="C7" s="73" t="n">
        <x:f>B7*Inputs!$C$4</x:f>
        <x:v>17884999.999999996</x:v>
      </x:c>
      <x:c r="D7" s="73" t="n">
        <x:f>'Hedge Model'!B6</x:f>
        <x:v>13637500</x:v>
      </x:c>
      <x:c r="E7" s="73" t="n">
        <x:f>'Hedge Model'!B9</x:f>
        <x:v>18178599.37402191</x:v>
      </x:c>
      <x:c r="F7" s="73" t="n">
        <x:f>MAX(B7,Inputs!$C$9)*Inputs!$C$4+'Hedge Model'!B11</x:f>
        <x:v>18051093.75</x:v>
      </x:c>
      <x:c r="G7" s="73" t="n">
        <x:f>D7-C7</x:f>
        <x:v>-4247499.999999996</x:v>
      </x:c>
      <x:c r="H7" s="73" t="n">
        <x:f>E7-C7</x:f>
        <x:v>293599.37402191386</x:v>
      </x:c>
      <x:c r="I7" s="73" t="n">
        <x:f>F7-C7</x:f>
        <x:v>166093.75000000373</x:v>
      </x:c>
      <x:c r="J7" s="49"/>
      <x:c r="K7" s="49"/>
      <x:c r="L7" s="49"/>
      <x:c r="M7" s="49"/>
      <x:c r="N7" s="49"/>
      <x:c r="O7" s="49"/>
      <x:c r="P7" s="49"/>
      <x:c r="Q7" s="49"/>
      <x:c r="R7" s="49"/>
      <x:c r="S7" s="49"/>
    </x:row>
    <x:row r="8">
      <x:c r="A8" s="78" t="n">
        <x:v>-0.01</x:v>
      </x:c>
      <x:c r="B8" s="72" t="n">
        <x:f>Inputs!$C$5*(1+A8)</x:f>
        <x:v>1.4454</x:v>
      </x:c>
      <x:c r="C8" s="73" t="n">
        <x:f>B8*Inputs!$C$4</x:f>
        <x:v>18067500</x:v>
      </x:c>
      <x:c r="D8" s="73" t="n">
        <x:f>'Hedge Model'!B6</x:f>
        <x:v>13637500</x:v>
      </x:c>
      <x:c r="E8" s="73" t="n">
        <x:f>'Hedge Model'!B9</x:f>
        <x:v>18178599.37402191</x:v>
      </x:c>
      <x:c r="F8" s="73" t="n">
        <x:f>MAX(B8,Inputs!$C$9)*Inputs!$C$4+'Hedge Model'!B11</x:f>
        <x:v>18051093.75</x:v>
      </x:c>
      <x:c r="G8" s="73" t="n">
        <x:f>D8-C8</x:f>
        <x:v>-4430000</x:v>
      </x:c>
      <x:c r="H8" s="73" t="n">
        <x:f>E8-C8</x:f>
        <x:v>111099.37402191013</x:v>
      </x:c>
      <x:c r="I8" s="73" t="n">
        <x:f>F8-C8</x:f>
        <x:v>-16406.25</x:v>
      </x:c>
      <x:c r="J8" s="49"/>
      <x:c r="K8" s="49"/>
      <x:c r="L8" s="49"/>
      <x:c r="M8" s="49"/>
      <x:c r="N8" s="49"/>
      <x:c r="O8" s="49"/>
      <x:c r="P8" s="49"/>
      <x:c r="Q8" s="49"/>
      <x:c r="R8" s="49"/>
      <x:c r="S8" s="49"/>
    </x:row>
    <x:row r="9">
      <x:c r="A9" s="79" t="n">
        <x:v>0</x:v>
      </x:c>
      <x:c r="B9" s="80" t="n">
        <x:f>Inputs!$C$5*(1+A9)</x:f>
        <x:v>1.46</x:v>
      </x:c>
      <x:c r="C9" s="81" t="n">
        <x:f>B9*Inputs!$C$4</x:f>
        <x:v>18250000</x:v>
      </x:c>
      <x:c r="D9" s="81" t="n">
        <x:f>'Hedge Model'!B6</x:f>
        <x:v>13637500</x:v>
      </x:c>
      <x:c r="E9" s="81" t="n">
        <x:f>'Hedge Model'!B9</x:f>
        <x:v>18178599.37402191</x:v>
      </x:c>
      <x:c r="F9" s="81" t="n">
        <x:f>MAX(B9,Inputs!$C$9)*Inputs!$C$4+'Hedge Model'!B11</x:f>
        <x:v>18051093.75</x:v>
      </x:c>
      <x:c r="G9" s="81" t="n">
        <x:f>D9-C9</x:f>
        <x:v>-4612500</x:v>
      </x:c>
      <x:c r="H9" s="81" t="n">
        <x:f>E9-C9</x:f>
        <x:v>-71400.62597808987</x:v>
      </x:c>
      <x:c r="I9" s="81" t="n">
        <x:f>F9-C9</x:f>
        <x:v>-198906.25</x:v>
      </x:c>
      <x:c r="J9" s="49"/>
      <x:c r="K9" s="49"/>
      <x:c r="L9" s="49"/>
      <x:c r="M9" s="49"/>
      <x:c r="N9" s="49"/>
      <x:c r="O9" s="49"/>
      <x:c r="P9" s="49"/>
      <x:c r="Q9" s="49"/>
      <x:c r="R9" s="49"/>
      <x:c r="S9" s="49"/>
    </x:row>
    <x:row r="10">
      <x:c r="A10" s="78" t="n">
        <x:v>0.01</x:v>
      </x:c>
      <x:c r="B10" s="72" t="n">
        <x:f>Inputs!$C$5*(1+A10)</x:f>
        <x:v>1.4746</x:v>
      </x:c>
      <x:c r="C10" s="73" t="n">
        <x:f>B10*Inputs!$C$4</x:f>
        <x:v>18432500</x:v>
      </x:c>
      <x:c r="D10" s="73" t="n">
        <x:f>'Hedge Model'!B6</x:f>
        <x:v>13637500</x:v>
      </x:c>
      <x:c r="E10" s="73" t="n">
        <x:f>'Hedge Model'!B9</x:f>
        <x:v>18178599.37402191</x:v>
      </x:c>
      <x:c r="F10" s="73" t="n">
        <x:f>MAX(B10,Inputs!$C$9)*Inputs!$C$4+'Hedge Model'!B11</x:f>
        <x:v>18233593.75</x:v>
      </x:c>
      <x:c r="G10" s="73" t="n">
        <x:f>D10-C10</x:f>
        <x:v>-4795000</x:v>
      </x:c>
      <x:c r="H10" s="73" t="n">
        <x:f>E10-C10</x:f>
        <x:v>-253900.62597808987</x:v>
      </x:c>
      <x:c r="I10" s="73" t="n">
        <x:f>F10-C10</x:f>
        <x:v>-198906.25</x:v>
      </x:c>
      <x:c r="J10" s="49"/>
      <x:c r="K10" s="49"/>
      <x:c r="L10" s="49"/>
      <x:c r="M10" s="49"/>
      <x:c r="N10" s="49"/>
      <x:c r="O10" s="49"/>
      <x:c r="P10" s="49"/>
      <x:c r="Q10" s="49"/>
      <x:c r="R10" s="49"/>
      <x:c r="S10" s="49"/>
    </x:row>
    <x:row r="11">
      <x:c r="A11" s="78" t="n">
        <x:v>0.02</x:v>
      </x:c>
      <x:c r="B11" s="72" t="n">
        <x:f>Inputs!$C$5*(1+A11)</x:f>
        <x:v>1.4892</x:v>
      </x:c>
      <x:c r="C11" s="73" t="n">
        <x:f>B11*Inputs!$C$4</x:f>
        <x:v>18615000</x:v>
      </x:c>
      <x:c r="D11" s="73" t="n">
        <x:f>'Hedge Model'!B6</x:f>
        <x:v>13637500</x:v>
      </x:c>
      <x:c r="E11" s="73" t="n">
        <x:f>'Hedge Model'!B9</x:f>
        <x:v>18178599.37402191</x:v>
      </x:c>
      <x:c r="F11" s="73" t="n">
        <x:f>MAX(B11,Inputs!$C$9)*Inputs!$C$4+'Hedge Model'!B11</x:f>
        <x:v>18416093.75</x:v>
      </x:c>
      <x:c r="G11" s="73" t="n">
        <x:f>D11-C11</x:f>
        <x:v>-4977500</x:v>
      </x:c>
      <x:c r="H11" s="73" t="n">
        <x:f>E11-C11</x:f>
        <x:v>-436400.62597808987</x:v>
      </x:c>
      <x:c r="I11" s="73" t="n">
        <x:f>F11-C11</x:f>
        <x:v>-198906.25</x:v>
      </x:c>
      <x:c r="J11" s="49"/>
      <x:c r="K11" s="49"/>
      <x:c r="L11" s="49"/>
      <x:c r="M11" s="49"/>
      <x:c r="N11" s="49"/>
      <x:c r="O11" s="49"/>
      <x:c r="P11" s="49"/>
      <x:c r="Q11" s="49"/>
      <x:c r="R11" s="49"/>
      <x:c r="S11" s="49"/>
    </x:row>
    <x:row r="12">
      <x:c r="A12" s="78" t="n">
        <x:v>0.03</x:v>
      </x:c>
      <x:c r="B12" s="72" t="n">
        <x:f>Inputs!$C$5*(1+A12)</x:f>
        <x:v>1.5038</x:v>
      </x:c>
      <x:c r="C12" s="73" t="n">
        <x:f>B12*Inputs!$C$4</x:f>
        <x:v>18797500</x:v>
      </x:c>
      <x:c r="D12" s="73" t="n">
        <x:f>'Hedge Model'!B6</x:f>
        <x:v>13637500</x:v>
      </x:c>
      <x:c r="E12" s="73" t="n">
        <x:f>'Hedge Model'!B9</x:f>
        <x:v>18178599.37402191</x:v>
      </x:c>
      <x:c r="F12" s="73" t="n">
        <x:f>MAX(B12,Inputs!$C$9)*Inputs!$C$4+'Hedge Model'!B11</x:f>
        <x:v>18598593.75</x:v>
      </x:c>
      <x:c r="G12" s="73" t="n">
        <x:f>D12-C12</x:f>
        <x:v>-5160000</x:v>
      </x:c>
      <x:c r="H12" s="73" t="n">
        <x:f>E12-C12</x:f>
        <x:v>-618900.6259780899</x:v>
      </x:c>
      <x:c r="I12" s="73" t="n">
        <x:f>F12-C12</x:f>
        <x:v>-198906.25</x:v>
      </x:c>
      <x:c r="J12" s="49"/>
      <x:c r="K12" s="49"/>
      <x:c r="L12" s="49"/>
      <x:c r="M12" s="49"/>
      <x:c r="N12" s="49"/>
      <x:c r="O12" s="49"/>
      <x:c r="P12" s="49"/>
      <x:c r="Q12" s="49"/>
      <x:c r="R12" s="49"/>
      <x:c r="S12" s="49"/>
    </x:row>
    <x:row r="13">
      <x:c r="A13" s="78" t="n">
        <x:v>0.04</x:v>
      </x:c>
      <x:c r="B13" s="72" t="n">
        <x:f>Inputs!$C$5*(1+A13)</x:f>
        <x:v>1.5184</x:v>
      </x:c>
      <x:c r="C13" s="73" t="n">
        <x:f>B13*Inputs!$C$4</x:f>
        <x:v>18980000</x:v>
      </x:c>
      <x:c r="D13" s="73" t="n">
        <x:f>'Hedge Model'!B6</x:f>
        <x:v>13637500</x:v>
      </x:c>
      <x:c r="E13" s="73" t="n">
        <x:f>'Hedge Model'!B9</x:f>
        <x:v>18178599.37402191</x:v>
      </x:c>
      <x:c r="F13" s="73" t="n">
        <x:f>MAX(B13,Inputs!$C$9)*Inputs!$C$4+'Hedge Model'!B11</x:f>
        <x:v>18781093.75</x:v>
      </x:c>
      <x:c r="G13" s="73" t="n">
        <x:f>D13-C13</x:f>
        <x:v>-5342500</x:v>
      </x:c>
      <x:c r="H13" s="73" t="n">
        <x:f>E13-C13</x:f>
        <x:v>-801400.6259780899</x:v>
      </x:c>
      <x:c r="I13" s="73" t="n">
        <x:f>F13-C13</x:f>
        <x:v>-198906.25</x:v>
      </x:c>
      <x:c r="J13" s="49"/>
      <x:c r="K13" s="49"/>
      <x:c r="L13" s="49"/>
      <x:c r="M13" s="49"/>
      <x:c r="N13" s="49"/>
      <x:c r="O13" s="49"/>
      <x:c r="P13" s="49"/>
      <x:c r="Q13" s="49"/>
      <x:c r="R13" s="49"/>
      <x:c r="S13" s="49"/>
    </x:row>
    <x:row r="14">
      <x:c r="A14" s="78" t="n">
        <x:v>0.05</x:v>
      </x:c>
      <x:c r="B14" s="72" t="n">
        <x:f>Inputs!$C$5*(1+A14)</x:f>
        <x:v>1.533</x:v>
      </x:c>
      <x:c r="C14" s="73" t="n">
        <x:f>B14*Inputs!$C$4</x:f>
        <x:v>19162500</x:v>
      </x:c>
      <x:c r="D14" s="73" t="n">
        <x:f>'Hedge Model'!B6</x:f>
        <x:v>13637500</x:v>
      </x:c>
      <x:c r="E14" s="73" t="n">
        <x:f>'Hedge Model'!B9</x:f>
        <x:v>18178599.37402191</x:v>
      </x:c>
      <x:c r="F14" s="73" t="n">
        <x:f>MAX(B14,Inputs!$C$9)*Inputs!$C$4+'Hedge Model'!B11</x:f>
        <x:v>18963593.75</x:v>
      </x:c>
      <x:c r="G14" s="73" t="n">
        <x:f>D14-C14</x:f>
        <x:v>-5525000</x:v>
      </x:c>
      <x:c r="H14" s="73" t="n">
        <x:f>E14-C14</x:f>
        <x:v>-983900.6259780899</x:v>
      </x:c>
      <x:c r="I14" s="73" t="n">
        <x:f>F14-C14</x:f>
        <x:v>-198906.25</x:v>
      </x:c>
      <x:c r="J14" s="49"/>
      <x:c r="K14" s="49"/>
      <x:c r="L14" s="49"/>
      <x:c r="M14" s="49"/>
      <x:c r="N14" s="49"/>
      <x:c r="O14" s="49"/>
      <x:c r="P14" s="49"/>
      <x:c r="Q14" s="49"/>
      <x:c r="R14" s="49"/>
      <x:c r="S14" s="49"/>
    </x:row>
    <x:row r="15">
      <x:c r="A15" s="49"/>
      <x:c r="B15" s="49"/>
      <x:c r="C15" s="49"/>
      <x:c r="D15" s="49"/>
      <x:c r="E15" s="49"/>
      <x:c r="F15" s="49"/>
      <x:c r="G15" s="49"/>
      <x:c r="H15" s="49"/>
      <x:c r="I15" s="49"/>
      <x:c r="J15" s="49"/>
      <x:c r="K15" s="49"/>
      <x:c r="L15" s="49"/>
      <x:c r="M15" s="49"/>
      <x:c r="N15" s="49"/>
      <x:c r="O15" s="49"/>
      <x:c r="P15" s="49"/>
      <x:c r="Q15" s="49"/>
      <x:c r="R15" s="49"/>
      <x:c r="S15" s="49"/>
    </x:row>
    <x:row r="16">
      <x:c r="A16" s="49"/>
      <x:c r="B16" s="49"/>
      <x:c r="C16" s="49"/>
      <x:c r="D16" s="49"/>
      <x:c r="E16" s="49"/>
      <x:c r="F16" s="49"/>
      <x:c r="G16" s="49"/>
      <x:c r="H16" s="49"/>
      <x:c r="I16" s="49"/>
      <x:c r="J16" s="49"/>
      <x:c r="K16" s="49"/>
      <x:c r="L16" s="49"/>
      <x:c r="M16" s="49"/>
      <x:c r="N16" s="49"/>
      <x:c r="O16" s="49"/>
      <x:c r="P16" s="49"/>
      <x:c r="Q16" s="49"/>
      <x:c r="R16" s="49"/>
      <x:c r="S16" s="49"/>
    </x:row>
    <x:row r="17">
      <x:c r="A17" s="49"/>
      <x:c r="B17" s="49"/>
      <x:c r="C17" s="49"/>
      <x:c r="D17" s="49"/>
      <x:c r="E17" s="49"/>
      <x:c r="F17" s="49"/>
      <x:c r="G17" s="49"/>
      <x:c r="H17" s="49"/>
      <x:c r="I17" s="49"/>
      <x:c r="J17" s="49"/>
      <x:c r="K17" s="49"/>
      <x:c r="L17" s="49"/>
      <x:c r="M17" s="49"/>
      <x:c r="N17" s="49"/>
      <x:c r="O17" s="49"/>
      <x:c r="P17" s="49"/>
      <x:c r="Q17" s="49"/>
      <x:c r="R17" s="49"/>
      <x:c r="S17" s="49"/>
    </x:row>
    <x:row r="18">
      <x:c r="A18" s="49"/>
      <x:c r="B18" s="49"/>
      <x:c r="C18" s="49"/>
      <x:c r="D18" s="49"/>
      <x:c r="E18" s="49"/>
      <x:c r="F18" s="49"/>
      <x:c r="G18" s="49"/>
      <x:c r="H18" s="49"/>
      <x:c r="I18" s="49"/>
      <x:c r="J18" s="49"/>
      <x:c r="K18" s="49"/>
      <x:c r="L18" s="49"/>
      <x:c r="M18" s="49"/>
      <x:c r="N18" s="49"/>
      <x:c r="O18" s="49"/>
      <x:c r="P18" s="49"/>
      <x:c r="Q18" s="49"/>
      <x:c r="R18" s="49"/>
      <x:c r="S18" s="49"/>
    </x:row>
    <x:row r="19">
      <x:c r="A19" s="49"/>
      <x:c r="B19" s="49"/>
      <x:c r="C19" s="49"/>
      <x:c r="D19" s="49"/>
      <x:c r="E19" s="49"/>
      <x:c r="F19" s="49"/>
      <x:c r="G19" s="49"/>
      <x:c r="H19" s="49"/>
      <x:c r="I19" s="49"/>
      <x:c r="J19" s="49"/>
      <x:c r="K19" s="49"/>
      <x:c r="L19" s="49"/>
      <x:c r="M19" s="49"/>
      <x:c r="N19" s="49"/>
      <x:c r="O19" s="49"/>
      <x:c r="P19" s="49"/>
      <x:c r="Q19" s="49"/>
      <x:c r="R19" s="49"/>
      <x:c r="S19" s="49"/>
    </x:row>
    <x:row r="20">
      <x:c r="A20" s="49"/>
      <x:c r="B20" s="49"/>
      <x:c r="C20" s="49"/>
      <x:c r="D20" s="49"/>
      <x:c r="E20" s="49"/>
      <x:c r="F20" s="49"/>
      <x:c r="G20" s="49"/>
      <x:c r="H20" s="49"/>
      <x:c r="I20" s="49"/>
      <x:c r="J20" s="49"/>
      <x:c r="K20" s="49"/>
      <x:c r="L20" s="49"/>
      <x:c r="M20" s="49"/>
      <x:c r="N20" s="49"/>
      <x:c r="O20" s="49"/>
      <x:c r="P20" s="49"/>
      <x:c r="Q20" s="49"/>
      <x:c r="R20" s="49"/>
      <x:c r="S20" s="49"/>
    </x:row>
    <x:row r="21">
      <x:c r="A21" s="49"/>
      <x:c r="B21" s="49"/>
      <x:c r="C21" s="49"/>
      <x:c r="D21" s="49"/>
      <x:c r="E21" s="49"/>
      <x:c r="F21" s="49"/>
      <x:c r="G21" s="49"/>
      <x:c r="H21" s="49"/>
      <x:c r="I21" s="49"/>
      <x:c r="J21" s="49"/>
      <x:c r="K21" s="49"/>
      <x:c r="L21" s="49"/>
      <x:c r="M21" s="49"/>
      <x:c r="N21" s="49"/>
      <x:c r="O21" s="49"/>
      <x:c r="P21" s="49"/>
      <x:c r="Q21" s="49"/>
      <x:c r="R21" s="49"/>
      <x:c r="S21" s="49"/>
    </x:row>
    <x:row r="22">
      <x:c r="A22" s="49"/>
      <x:c r="B22" s="49"/>
      <x:c r="C22" s="49"/>
      <x:c r="D22" s="49"/>
      <x:c r="E22" s="49"/>
      <x:c r="F22" s="49"/>
      <x:c r="G22" s="49"/>
      <x:c r="H22" s="49"/>
      <x:c r="I22" s="49"/>
      <x:c r="J22" s="49"/>
      <x:c r="K22" s="49"/>
      <x:c r="L22" s="49"/>
      <x:c r="M22" s="49"/>
      <x:c r="N22" s="49"/>
      <x:c r="O22" s="49"/>
      <x:c r="P22" s="49"/>
      <x:c r="Q22" s="49"/>
      <x:c r="R22" s="49"/>
      <x:c r="S22" s="49"/>
    </x:row>
    <x:row r="23">
      <x:c r="A23" s="49"/>
      <x:c r="B23" s="49"/>
      <x:c r="C23" s="49"/>
      <x:c r="D23" s="49"/>
      <x:c r="E23" s="49"/>
      <x:c r="F23" s="49"/>
      <x:c r="G23" s="49"/>
      <x:c r="H23" s="49"/>
      <x:c r="I23" s="49"/>
      <x:c r="J23" s="49"/>
      <x:c r="K23" s="49"/>
      <x:c r="L23" s="49"/>
      <x:c r="M23" s="49"/>
      <x:c r="N23" s="49"/>
      <x:c r="O23" s="49"/>
      <x:c r="P23" s="49"/>
      <x:c r="Q23" s="49"/>
      <x:c r="R23" s="49"/>
      <x:c r="S23" s="49"/>
    </x:row>
    <x:row r="24">
      <x:c r="A24" s="49"/>
      <x:c r="B24" s="49"/>
      <x:c r="C24" s="49"/>
      <x:c r="D24" s="49"/>
      <x:c r="E24" s="49"/>
      <x:c r="F24" s="49"/>
      <x:c r="G24" s="49"/>
      <x:c r="H24" s="49"/>
      <x:c r="I24" s="49"/>
      <x:c r="J24" s="49"/>
      <x:c r="K24" s="49"/>
      <x:c r="L24" s="49"/>
      <x:c r="M24" s="49"/>
      <x:c r="N24" s="49"/>
      <x:c r="O24" s="49"/>
      <x:c r="P24" s="49"/>
      <x:c r="Q24" s="49"/>
      <x:c r="R24" s="49"/>
      <x:c r="S24" s="49"/>
    </x:row>
    <x:row r="25">
      <x:c r="A25" s="49"/>
      <x:c r="B25" s="49"/>
      <x:c r="C25" s="49"/>
      <x:c r="D25" s="49"/>
      <x:c r="E25" s="49"/>
      <x:c r="F25" s="49"/>
      <x:c r="G25" s="49"/>
      <x:c r="H25" s="49"/>
      <x:c r="I25" s="49"/>
      <x:c r="J25" s="49"/>
      <x:c r="K25" s="49"/>
      <x:c r="L25" s="49"/>
      <x:c r="M25" s="49"/>
      <x:c r="N25" s="49"/>
      <x:c r="O25" s="49"/>
      <x:c r="P25" s="49"/>
      <x:c r="Q25" s="49"/>
      <x:c r="R25" s="49"/>
      <x:c r="S25" s="49"/>
    </x:row>
    <x:row r="26">
      <x:c r="A26" s="49"/>
      <x:c r="B26" s="49"/>
      <x:c r="C26" s="49"/>
      <x:c r="D26" s="49"/>
      <x:c r="E26" s="49"/>
      <x:c r="F26" s="49"/>
      <x:c r="G26" s="49"/>
      <x:c r="H26" s="49"/>
      <x:c r="I26" s="49"/>
      <x:c r="J26" s="49"/>
      <x:c r="K26" s="49"/>
      <x:c r="L26" s="49"/>
      <x:c r="M26" s="49"/>
      <x:c r="N26" s="49"/>
      <x:c r="O26" s="49"/>
      <x:c r="P26" s="49"/>
      <x:c r="Q26" s="49"/>
      <x:c r="R26" s="49"/>
      <x:c r="S26" s="49"/>
    </x:row>
    <x:row r="27">
      <x:c r="A27" s="49"/>
      <x:c r="B27" s="49"/>
      <x:c r="C27" s="49"/>
      <x:c r="D27" s="49"/>
      <x:c r="E27" s="49"/>
      <x:c r="F27" s="49"/>
      <x:c r="G27" s="49"/>
      <x:c r="H27" s="49"/>
      <x:c r="I27" s="49"/>
      <x:c r="J27" s="49"/>
      <x:c r="K27" s="49"/>
      <x:c r="L27" s="49"/>
      <x:c r="M27" s="49"/>
      <x:c r="N27" s="49"/>
      <x:c r="O27" s="49"/>
      <x:c r="P27" s="49"/>
      <x:c r="Q27" s="49"/>
      <x:c r="R27" s="49"/>
      <x:c r="S27" s="49"/>
    </x:row>
    <x:row r="28">
      <x:c r="A28" s="49"/>
      <x:c r="B28" s="49"/>
      <x:c r="C28" s="49"/>
      <x:c r="D28" s="49"/>
      <x:c r="E28" s="49"/>
      <x:c r="F28" s="49"/>
      <x:c r="G28" s="49"/>
      <x:c r="H28" s="49"/>
      <x:c r="I28" s="49"/>
      <x:c r="J28" s="49"/>
      <x:c r="K28" s="49"/>
      <x:c r="L28" s="49"/>
      <x:c r="M28" s="49"/>
      <x:c r="N28" s="49"/>
      <x:c r="O28" s="49"/>
      <x:c r="P28" s="49"/>
      <x:c r="Q28" s="49"/>
      <x:c r="R28" s="49"/>
      <x:c r="S28" s="49"/>
    </x:row>
    <x:row r="29">
      <x:c r="A29" s="49"/>
      <x:c r="B29" s="49"/>
      <x:c r="C29" s="49"/>
      <x:c r="D29" s="49"/>
      <x:c r="E29" s="49"/>
      <x:c r="F29" s="49"/>
      <x:c r="G29" s="49"/>
      <x:c r="H29" s="49"/>
      <x:c r="I29" s="49"/>
      <x:c r="J29" s="49"/>
      <x:c r="K29" s="49"/>
      <x:c r="L29" s="49"/>
      <x:c r="M29" s="49"/>
      <x:c r="N29" s="49"/>
      <x:c r="O29" s="49"/>
      <x:c r="P29" s="49"/>
      <x:c r="Q29" s="49"/>
      <x:c r="R29" s="49"/>
      <x:c r="S29" s="49"/>
    </x:row>
    <x:row r="30">
      <x:c r="A30" s="49"/>
      <x:c r="B30" s="49"/>
      <x:c r="C30" s="49"/>
      <x:c r="D30" s="49"/>
      <x:c r="E30" s="49"/>
      <x:c r="F30" s="49"/>
      <x:c r="G30" s="49"/>
      <x:c r="H30" s="49"/>
      <x:c r="I30" s="49"/>
      <x:c r="J30" s="49"/>
      <x:c r="K30" s="49"/>
      <x:c r="L30" s="49"/>
      <x:c r="M30" s="49"/>
      <x:c r="N30" s="49"/>
      <x:c r="O30" s="49"/>
      <x:c r="P30" s="49"/>
      <x:c r="Q30" s="49"/>
      <x:c r="R30" s="49"/>
      <x:c r="S30" s="49"/>
    </x:row>
  </x:sheetData>
  <x:mergeCells>
    <x:mergeCell ref="A1:I1"/>
  </x:mergeCells>
  <x:pageMargins left="0.7" right="0.7" top="0.75" bottom="0.75" header="0.3" footer="0.3"/>
  <x:drawing xmlns:r="http://schemas.openxmlformats.org/officeDocument/2006/relationships" r:id="R2cf44137e3ff466c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</x:cols>
  <x:sheetData>
    <x:row r="1">
      <x:c r="A1" s="58" t="str">
        <x:v>NOTES &amp; ASSUMPTIONS</x:v>
      </x:c>
      <x:c r="B1" s="58"/>
      <x:c r="C1" s="58"/>
      <x:c r="D1" s="58"/>
      <x:c r="E1" s="49"/>
      <x:c r="F1" s="49"/>
      <x:c r="G1" s="49"/>
      <x:c r="H1" s="49"/>
      <x:c r="I1" s="49"/>
      <x:c r="J1" s="49"/>
      <x:c r="K1" s="49"/>
      <x:c r="L1" s="49"/>
      <x:c r="M1" s="49"/>
      <x:c r="N1" s="49"/>
      <x:c r="O1" s="49"/>
      <x:c r="P1" s="49"/>
      <x:c r="Q1" s="49"/>
      <x:c r="R1" s="49"/>
      <x:c r="S1" s="49"/>
    </x:row>
    <x:row r="2">
      <x:c r="A2" s="49"/>
      <x:c r="B2" s="49"/>
      <x:c r="C2" s="49"/>
      <x:c r="D2" s="49"/>
      <x:c r="E2" s="49"/>
      <x:c r="F2" s="49"/>
      <x:c r="G2" s="49"/>
      <x:c r="H2" s="49"/>
      <x:c r="I2" s="49"/>
      <x:c r="J2" s="49"/>
      <x:c r="K2" s="49"/>
      <x:c r="L2" s="49"/>
      <x:c r="M2" s="49"/>
      <x:c r="N2" s="49"/>
      <x:c r="O2" s="49"/>
      <x:c r="P2" s="49"/>
      <x:c r="Q2" s="49"/>
      <x:c r="R2" s="49"/>
      <x:c r="S2" s="49"/>
    </x:row>
    <x:row r="3">
      <x:c r="A3" s="59" t="str">
        <x:v>Item</x:v>
      </x:c>
      <x:c r="B3" s="86" t="str">
        <x:v>Note</x:v>
      </x:c>
      <x:c r="C3" s="49"/>
      <x:c r="D3" s="49"/>
      <x:c r="E3" s="49"/>
      <x:c r="F3" s="49"/>
      <x:c r="G3" s="49"/>
      <x:c r="H3" s="49"/>
      <x:c r="I3" s="49"/>
      <x:c r="J3" s="49"/>
      <x:c r="K3" s="49"/>
      <x:c r="L3" s="49"/>
      <x:c r="M3" s="49"/>
      <x:c r="N3" s="49"/>
      <x:c r="O3" s="49"/>
      <x:c r="P3" s="49"/>
      <x:c r="Q3" s="49"/>
      <x:c r="R3" s="49"/>
      <x:c r="S3" s="49"/>
    </x:row>
    <x:row r="4">
      <x:c r="A4" s="49" t="str">
        <x:v>Exposure</x:v>
      </x:c>
      <x:c r="B4" s="52" t="str">
        <x:v>U.S. technology services firm expects a €12.5 million receivable.</x:v>
      </x:c>
      <x:c r="C4" s="49"/>
      <x:c r="D4" s="49"/>
      <x:c r="E4" s="49"/>
      <x:c r="F4" s="49"/>
      <x:c r="G4" s="49"/>
      <x:c r="H4" s="49"/>
      <x:c r="I4" s="49"/>
      <x:c r="J4" s="49"/>
      <x:c r="K4" s="49"/>
      <x:c r="L4" s="49"/>
      <x:c r="M4" s="49"/>
      <x:c r="N4" s="49"/>
      <x:c r="O4" s="49"/>
      <x:c r="P4" s="49"/>
      <x:c r="Q4" s="49"/>
      <x:c r="R4" s="49"/>
      <x:c r="S4" s="49"/>
    </x:row>
    <x:row r="5">
      <x:c r="A5" s="49" t="str">
        <x:v>Quote convention</x:v>
      </x:c>
      <x:c r="B5" s="52" t="str">
        <x:v>USD per EUR; higher quote means EUR appreciation.</x:v>
      </x:c>
      <x:c r="C5" s="49"/>
      <x:c r="D5" s="49"/>
      <x:c r="E5" s="49"/>
      <x:c r="F5" s="49"/>
      <x:c r="G5" s="49"/>
      <x:c r="H5" s="49"/>
      <x:c r="I5" s="49"/>
      <x:c r="J5" s="49"/>
      <x:c r="K5" s="49"/>
      <x:c r="L5" s="49"/>
      <x:c r="M5" s="49"/>
      <x:c r="N5" s="49"/>
      <x:c r="O5" s="49"/>
      <x:c r="P5" s="49"/>
      <x:c r="Q5" s="49"/>
      <x:c r="R5" s="49"/>
      <x:c r="S5" s="49"/>
    </x:row>
    <x:row r="6">
      <x:c r="A6" s="49" t="str">
        <x:v>Settlement horizon</x:v>
      </x:c>
      <x:c r="B6" s="52" t="str">
        <x:v>365 days is used because the class template assumes a one-year period unless another settlement date is given.</x:v>
      </x:c>
      <x:c r="C6" s="49"/>
      <x:c r="D6" s="49"/>
      <x:c r="E6" s="49"/>
      <x:c r="F6" s="49"/>
      <x:c r="G6" s="49"/>
      <x:c r="H6" s="49"/>
      <x:c r="I6" s="49"/>
      <x:c r="J6" s="49"/>
      <x:c r="K6" s="49"/>
      <x:c r="L6" s="49"/>
      <x:c r="M6" s="49"/>
      <x:c r="N6" s="49"/>
      <x:c r="O6" s="49"/>
      <x:c r="P6" s="49"/>
      <x:c r="Q6" s="49"/>
      <x:c r="R6" s="49"/>
      <x:c r="S6" s="49"/>
    </x:row>
    <x:row r="7">
      <x:c r="A7" s="49" t="str">
        <x:v>Forward rate</x:v>
      </x:c>
      <x:c r="B7" s="52" t="str">
        <x:v>The 1.0910 forward rate comes from my assigned scenario.</x:v>
      </x:c>
      <x:c r="C7" s="49"/>
      <x:c r="D7" s="49"/>
      <x:c r="E7" s="49"/>
      <x:c r="F7" s="49"/>
      <x:c r="G7" s="49"/>
      <x:c r="H7" s="49"/>
      <x:c r="I7" s="49"/>
      <x:c r="J7" s="49"/>
      <x:c r="K7" s="49"/>
      <x:c r="L7" s="49"/>
      <x:c r="M7" s="49"/>
      <x:c r="N7" s="49"/>
      <x:c r="O7" s="49"/>
      <x:c r="P7" s="49"/>
      <x:c r="Q7" s="49"/>
      <x:c r="R7" s="49"/>
      <x:c r="S7" s="49"/>
    </x:row>
    <x:row r="8">
      <x:c r="A8" s="49" t="str">
        <x:v>Other market inputs</x:v>
      </x:c>
      <x:c r="B8" s="52" t="str">
        <x:v>The spot rate, interest rates, strike, and option premium are still template values. I will replace these with sourced market data in Stage 4.</x:v>
      </x:c>
      <x:c r="C8" s="49"/>
      <x:c r="D8" s="49"/>
      <x:c r="E8" s="49"/>
      <x:c r="F8" s="49"/>
      <x:c r="G8" s="49"/>
      <x:c r="H8" s="49"/>
      <x:c r="I8" s="49"/>
      <x:c r="J8" s="49"/>
      <x:c r="K8" s="49"/>
      <x:c r="L8" s="49"/>
      <x:c r="M8" s="49"/>
      <x:c r="N8" s="49"/>
      <x:c r="O8" s="49"/>
      <x:c r="P8" s="49"/>
      <x:c r="Q8" s="49"/>
      <x:c r="R8" s="49"/>
      <x:c r="S8" s="49"/>
    </x:row>
    <x:row r="9">
      <x:c r="A9" s="49" t="str">
        <x:v>Model scope</x:v>
      </x:c>
      <x:c r="B9" s="52" t="str">
        <x:v>This model compares cash outcomes only. It does not include taxes, transaction costs, credit risk, or hedge-accounting treatment.</x:v>
      </x:c>
      <x:c r="C9" s="49"/>
      <x:c r="D9" s="49"/>
      <x:c r="E9" s="49"/>
      <x:c r="F9" s="49"/>
      <x:c r="G9" s="49"/>
      <x:c r="H9" s="49"/>
      <x:c r="I9" s="49"/>
      <x:c r="J9" s="49"/>
      <x:c r="K9" s="49"/>
      <x:c r="L9" s="49"/>
      <x:c r="M9" s="49"/>
      <x:c r="N9" s="49"/>
      <x:c r="O9" s="49"/>
      <x:c r="P9" s="49"/>
      <x:c r="Q9" s="49"/>
      <x:c r="R9" s="49"/>
      <x:c r="S9" s="49"/>
    </x:row>
    <x:row r="10">
      <x:c r="A10" s="49" t="str">
        <x:v>Student audit note</x:v>
      </x:c>
      <x:c r="B10" s="52" t="str">
        <x:v>I reviewed the formulas, labels, and sensitivity table after the workbook was built.</x:v>
      </x:c>
      <x:c r="C10" s="49"/>
      <x:c r="D10" s="49"/>
      <x:c r="E10" s="49"/>
      <x:c r="F10" s="49"/>
      <x:c r="G10" s="49"/>
      <x:c r="H10" s="49"/>
      <x:c r="I10" s="49"/>
      <x:c r="J10" s="49"/>
      <x:c r="K10" s="49"/>
      <x:c r="L10" s="49"/>
      <x:c r="M10" s="49"/>
      <x:c r="N10" s="49"/>
      <x:c r="O10" s="49"/>
      <x:c r="P10" s="49"/>
      <x:c r="Q10" s="49"/>
      <x:c r="R10" s="49"/>
      <x:c r="S10" s="49"/>
    </x:row>
    <x:row r="11">
      <x:c r="A11" s="49"/>
      <x:c r="B11" s="49"/>
      <x:c r="C11" s="49"/>
      <x:c r="D11" s="49"/>
      <x:c r="E11" s="49"/>
      <x:c r="F11" s="49"/>
      <x:c r="G11" s="49"/>
      <x:c r="H11" s="49"/>
      <x:c r="I11" s="49"/>
      <x:c r="J11" s="49"/>
      <x:c r="K11" s="49"/>
      <x:c r="L11" s="49"/>
      <x:c r="M11" s="49"/>
      <x:c r="N11" s="49"/>
      <x:c r="O11" s="49"/>
      <x:c r="P11" s="49"/>
      <x:c r="Q11" s="49"/>
      <x:c r="R11" s="49"/>
      <x:c r="S11" s="49"/>
    </x:row>
    <x:row r="12">
      <x:c r="A12" s="49"/>
      <x:c r="B12" s="49"/>
      <x:c r="C12" s="49"/>
      <x:c r="D12" s="49"/>
      <x:c r="E12" s="49"/>
      <x:c r="F12" s="49"/>
      <x:c r="G12" s="49"/>
      <x:c r="H12" s="49"/>
      <x:c r="I12" s="49"/>
      <x:c r="J12" s="49"/>
      <x:c r="K12" s="49"/>
      <x:c r="L12" s="49"/>
      <x:c r="M12" s="49"/>
      <x:c r="N12" s="49"/>
      <x:c r="O12" s="49"/>
      <x:c r="P12" s="49"/>
      <x:c r="Q12" s="49"/>
      <x:c r="R12" s="49"/>
      <x:c r="S12" s="49"/>
    </x:row>
    <x:row r="13">
      <x:c r="A13" s="49"/>
      <x:c r="B13" s="49"/>
      <x:c r="C13" s="49"/>
      <x:c r="D13" s="49"/>
      <x:c r="E13" s="49"/>
      <x:c r="F13" s="49"/>
      <x:c r="G13" s="49"/>
      <x:c r="H13" s="49"/>
      <x:c r="I13" s="49"/>
      <x:c r="J13" s="49"/>
      <x:c r="K13" s="49"/>
      <x:c r="L13" s="49"/>
      <x:c r="M13" s="49"/>
      <x:c r="N13" s="49"/>
      <x:c r="O13" s="49"/>
      <x:c r="P13" s="49"/>
      <x:c r="Q13" s="49"/>
      <x:c r="R13" s="49"/>
      <x:c r="S13" s="49"/>
    </x:row>
    <x:row r="14">
      <x:c r="A14" s="49"/>
      <x:c r="B14" s="49"/>
      <x:c r="C14" s="49"/>
      <x:c r="D14" s="49"/>
      <x:c r="E14" s="49"/>
      <x:c r="F14" s="49"/>
      <x:c r="G14" s="49"/>
      <x:c r="H14" s="49"/>
      <x:c r="I14" s="49"/>
      <x:c r="J14" s="49"/>
      <x:c r="K14" s="49"/>
      <x:c r="L14" s="49"/>
      <x:c r="M14" s="49"/>
      <x:c r="N14" s="49"/>
      <x:c r="O14" s="49"/>
      <x:c r="P14" s="49"/>
      <x:c r="Q14" s="49"/>
      <x:c r="R14" s="49"/>
      <x:c r="S14" s="49"/>
    </x:row>
    <x:row r="15">
      <x:c r="A15" s="49"/>
      <x:c r="B15" s="49"/>
      <x:c r="C15" s="49"/>
      <x:c r="D15" s="49"/>
      <x:c r="E15" s="49"/>
      <x:c r="F15" s="49"/>
      <x:c r="G15" s="49"/>
      <x:c r="H15" s="49"/>
      <x:c r="I15" s="49"/>
      <x:c r="J15" s="49"/>
      <x:c r="K15" s="49"/>
      <x:c r="L15" s="49"/>
      <x:c r="M15" s="49"/>
      <x:c r="N15" s="49"/>
      <x:c r="O15" s="49"/>
      <x:c r="P15" s="49"/>
      <x:c r="Q15" s="49"/>
      <x:c r="R15" s="49"/>
      <x:c r="S15" s="49"/>
    </x:row>
    <x:row r="16">
      <x:c r="A16" s="49"/>
      <x:c r="B16" s="49"/>
      <x:c r="C16" s="49"/>
      <x:c r="D16" s="49"/>
      <x:c r="E16" s="49"/>
      <x:c r="F16" s="49"/>
      <x:c r="G16" s="49"/>
      <x:c r="H16" s="49"/>
      <x:c r="I16" s="49"/>
      <x:c r="J16" s="49"/>
      <x:c r="K16" s="49"/>
      <x:c r="L16" s="49"/>
      <x:c r="M16" s="49"/>
      <x:c r="N16" s="49"/>
      <x:c r="O16" s="49"/>
      <x:c r="P16" s="49"/>
      <x:c r="Q16" s="49"/>
      <x:c r="R16" s="49"/>
      <x:c r="S16" s="49"/>
    </x:row>
    <x:row r="17">
      <x:c r="A17" s="49"/>
      <x:c r="B17" s="49"/>
      <x:c r="C17" s="49"/>
      <x:c r="D17" s="49"/>
      <x:c r="E17" s="49"/>
      <x:c r="F17" s="49"/>
      <x:c r="G17" s="49"/>
      <x:c r="H17" s="49"/>
      <x:c r="I17" s="49"/>
      <x:c r="J17" s="49"/>
      <x:c r="K17" s="49"/>
      <x:c r="L17" s="49"/>
      <x:c r="M17" s="49"/>
      <x:c r="N17" s="49"/>
      <x:c r="O17" s="49"/>
      <x:c r="P17" s="49"/>
      <x:c r="Q17" s="49"/>
      <x:c r="R17" s="49"/>
      <x:c r="S17" s="49"/>
    </x:row>
    <x:row r="18">
      <x:c r="A18" s="49"/>
      <x:c r="B18" s="49"/>
      <x:c r="C18" s="49"/>
      <x:c r="D18" s="49"/>
      <x:c r="E18" s="49"/>
      <x:c r="F18" s="49"/>
      <x:c r="G18" s="49"/>
      <x:c r="H18" s="49"/>
      <x:c r="I18" s="49"/>
      <x:c r="J18" s="49"/>
      <x:c r="K18" s="49"/>
      <x:c r="L18" s="49"/>
      <x:c r="M18" s="49"/>
      <x:c r="N18" s="49"/>
      <x:c r="O18" s="49"/>
      <x:c r="P18" s="49"/>
      <x:c r="Q18" s="49"/>
      <x:c r="R18" s="49"/>
      <x:c r="S18" s="49"/>
    </x:row>
    <x:row r="19">
      <x:c r="A19" s="49"/>
      <x:c r="B19" s="49"/>
      <x:c r="C19" s="49"/>
      <x:c r="D19" s="49"/>
      <x:c r="E19" s="49"/>
      <x:c r="F19" s="49"/>
      <x:c r="G19" s="49"/>
      <x:c r="H19" s="49"/>
      <x:c r="I19" s="49"/>
      <x:c r="J19" s="49"/>
      <x:c r="K19" s="49"/>
      <x:c r="L19" s="49"/>
      <x:c r="M19" s="49"/>
      <x:c r="N19" s="49"/>
      <x:c r="O19" s="49"/>
      <x:c r="P19" s="49"/>
      <x:c r="Q19" s="49"/>
      <x:c r="R19" s="49"/>
      <x:c r="S19" s="49"/>
    </x:row>
    <x:row r="20">
      <x:c r="A20" s="49"/>
      <x:c r="B20" s="49"/>
      <x:c r="C20" s="49"/>
      <x:c r="D20" s="49"/>
      <x:c r="E20" s="49"/>
      <x:c r="F20" s="49"/>
      <x:c r="G20" s="49"/>
      <x:c r="H20" s="49"/>
      <x:c r="I20" s="49"/>
      <x:c r="J20" s="49"/>
      <x:c r="K20" s="49"/>
      <x:c r="L20" s="49"/>
      <x:c r="M20" s="49"/>
      <x:c r="N20" s="49"/>
      <x:c r="O20" s="49"/>
      <x:c r="P20" s="49"/>
      <x:c r="Q20" s="49"/>
      <x:c r="R20" s="49"/>
      <x:c r="S20" s="49"/>
    </x:row>
    <x:row r="21">
      <x:c r="A21" s="49"/>
      <x:c r="B21" s="49"/>
      <x:c r="C21" s="49"/>
      <x:c r="D21" s="49"/>
      <x:c r="E21" s="49"/>
      <x:c r="F21" s="49"/>
      <x:c r="G21" s="49"/>
      <x:c r="H21" s="49"/>
      <x:c r="I21" s="49"/>
      <x:c r="J21" s="49"/>
      <x:c r="K21" s="49"/>
      <x:c r="L21" s="49"/>
      <x:c r="M21" s="49"/>
      <x:c r="N21" s="49"/>
      <x:c r="O21" s="49"/>
      <x:c r="P21" s="49"/>
      <x:c r="Q21" s="49"/>
      <x:c r="R21" s="49"/>
      <x:c r="S21" s="49"/>
    </x:row>
    <x:row r="22">
      <x:c r="A22" s="49"/>
      <x:c r="B22" s="49"/>
      <x:c r="C22" s="49"/>
      <x:c r="D22" s="49"/>
      <x:c r="E22" s="49"/>
      <x:c r="F22" s="49"/>
      <x:c r="G22" s="49"/>
      <x:c r="H22" s="49"/>
      <x:c r="I22" s="49"/>
      <x:c r="J22" s="49"/>
      <x:c r="K22" s="49"/>
      <x:c r="L22" s="49"/>
      <x:c r="M22" s="49"/>
      <x:c r="N22" s="49"/>
      <x:c r="O22" s="49"/>
      <x:c r="P22" s="49"/>
      <x:c r="Q22" s="49"/>
      <x:c r="R22" s="49"/>
      <x:c r="S22" s="49"/>
    </x:row>
    <x:row r="23">
      <x:c r="A23" s="49"/>
      <x:c r="B23" s="49"/>
      <x:c r="C23" s="49"/>
      <x:c r="D23" s="49"/>
      <x:c r="E23" s="49"/>
      <x:c r="F23" s="49"/>
      <x:c r="G23" s="49"/>
      <x:c r="H23" s="49"/>
      <x:c r="I23" s="49"/>
      <x:c r="J23" s="49"/>
      <x:c r="K23" s="49"/>
      <x:c r="L23" s="49"/>
      <x:c r="M23" s="49"/>
      <x:c r="N23" s="49"/>
      <x:c r="O23" s="49"/>
      <x:c r="P23" s="49"/>
      <x:c r="Q23" s="49"/>
      <x:c r="R23" s="49"/>
      <x:c r="S23" s="49"/>
    </x:row>
    <x:row r="24">
      <x:c r="A24" s="49"/>
      <x:c r="B24" s="49"/>
      <x:c r="C24" s="49"/>
      <x:c r="D24" s="49"/>
      <x:c r="E24" s="49"/>
      <x:c r="F24" s="49"/>
      <x:c r="G24" s="49"/>
      <x:c r="H24" s="49"/>
      <x:c r="I24" s="49"/>
      <x:c r="J24" s="49"/>
      <x:c r="K24" s="49"/>
      <x:c r="L24" s="49"/>
      <x:c r="M24" s="49"/>
      <x:c r="N24" s="49"/>
      <x:c r="O24" s="49"/>
      <x:c r="P24" s="49"/>
      <x:c r="Q24" s="49"/>
      <x:c r="R24" s="49"/>
      <x:c r="S24" s="49"/>
    </x:row>
    <x:row r="25">
      <x:c r="A25" s="49"/>
      <x:c r="B25" s="49"/>
      <x:c r="C25" s="49"/>
      <x:c r="D25" s="49"/>
      <x:c r="E25" s="49"/>
      <x:c r="F25" s="49"/>
      <x:c r="G25" s="49"/>
      <x:c r="H25" s="49"/>
      <x:c r="I25" s="49"/>
      <x:c r="J25" s="49"/>
      <x:c r="K25" s="49"/>
      <x:c r="L25" s="49"/>
      <x:c r="M25" s="49"/>
      <x:c r="N25" s="49"/>
      <x:c r="O25" s="49"/>
      <x:c r="P25" s="49"/>
      <x:c r="Q25" s="49"/>
      <x:c r="R25" s="49"/>
      <x:c r="S25" s="49"/>
    </x:row>
    <x:row r="26">
      <x:c r="A26" s="49"/>
      <x:c r="B26" s="49"/>
      <x:c r="C26" s="49"/>
      <x:c r="D26" s="49"/>
      <x:c r="E26" s="49"/>
      <x:c r="F26" s="49"/>
      <x:c r="G26" s="49"/>
      <x:c r="H26" s="49"/>
      <x:c r="I26" s="49"/>
      <x:c r="J26" s="49"/>
      <x:c r="K26" s="49"/>
      <x:c r="L26" s="49"/>
      <x:c r="M26" s="49"/>
      <x:c r="N26" s="49"/>
      <x:c r="O26" s="49"/>
      <x:c r="P26" s="49"/>
      <x:c r="Q26" s="49"/>
      <x:c r="R26" s="49"/>
      <x:c r="S26" s="49"/>
    </x:row>
    <x:row r="27">
      <x:c r="A27" s="49"/>
      <x:c r="B27" s="49"/>
      <x:c r="C27" s="49"/>
      <x:c r="D27" s="49"/>
      <x:c r="E27" s="49"/>
      <x:c r="F27" s="49"/>
      <x:c r="G27" s="49"/>
      <x:c r="H27" s="49"/>
      <x:c r="I27" s="49"/>
      <x:c r="J27" s="49"/>
      <x:c r="K27" s="49"/>
      <x:c r="L27" s="49"/>
      <x:c r="M27" s="49"/>
      <x:c r="N27" s="49"/>
      <x:c r="O27" s="49"/>
      <x:c r="P27" s="49"/>
      <x:c r="Q27" s="49"/>
      <x:c r="R27" s="49"/>
      <x:c r="S27" s="49"/>
    </x:row>
    <x:row r="28">
      <x:c r="A28" s="49"/>
      <x:c r="B28" s="49"/>
      <x:c r="C28" s="49"/>
      <x:c r="D28" s="49"/>
      <x:c r="E28" s="49"/>
      <x:c r="F28" s="49"/>
      <x:c r="G28" s="49"/>
      <x:c r="H28" s="49"/>
      <x:c r="I28" s="49"/>
      <x:c r="J28" s="49"/>
      <x:c r="K28" s="49"/>
      <x:c r="L28" s="49"/>
      <x:c r="M28" s="49"/>
      <x:c r="N28" s="49"/>
      <x:c r="O28" s="49"/>
      <x:c r="P28" s="49"/>
      <x:c r="Q28" s="49"/>
      <x:c r="R28" s="49"/>
      <x:c r="S28" s="49"/>
    </x:row>
    <x:row r="29">
      <x:c r="A29" s="49"/>
      <x:c r="B29" s="49"/>
      <x:c r="C29" s="49"/>
      <x:c r="D29" s="49"/>
      <x:c r="E29" s="49"/>
      <x:c r="F29" s="49"/>
      <x:c r="G29" s="49"/>
      <x:c r="H29" s="49"/>
      <x:c r="I29" s="49"/>
      <x:c r="J29" s="49"/>
      <x:c r="K29" s="49"/>
      <x:c r="L29" s="49"/>
      <x:c r="M29" s="49"/>
      <x:c r="N29" s="49"/>
      <x:c r="O29" s="49"/>
      <x:c r="P29" s="49"/>
      <x:c r="Q29" s="49"/>
      <x:c r="R29" s="49"/>
      <x:c r="S29" s="49"/>
    </x:row>
    <x:row r="30">
      <x:c r="A30" s="49"/>
      <x:c r="B30" s="49"/>
      <x:c r="C30" s="49"/>
      <x:c r="D30" s="49"/>
      <x:c r="E30" s="49"/>
      <x:c r="F30" s="49"/>
      <x:c r="G30" s="49"/>
      <x:c r="H30" s="49"/>
      <x:c r="I30" s="49"/>
      <x:c r="J30" s="49"/>
      <x:c r="K30" s="49"/>
      <x:c r="L30" s="49"/>
      <x:c r="M30" s="49"/>
      <x:c r="N30" s="49"/>
      <x:c r="O30" s="49"/>
      <x:c r="P30" s="49"/>
      <x:c r="Q30" s="49"/>
      <x:c r="R30" s="49"/>
      <x:c r="S30" s="49"/>
    </x:row>
  </x:sheetData>
  <x:mergeCells>
    <x:mergeCell ref="A1:D1"/>
  </x:mergeCells>
  <x:pageMargins left="0.7" right="0.7" top="0.75" bottom="0.75" header="0.3" footer="0.3"/>
</x:worksheet>
</file>